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ia\Downloads\"/>
    </mc:Choice>
  </mc:AlternateContent>
  <xr:revisionPtr revIDLastSave="0" documentId="13_ncr:1_{4A621A08-3451-4BA1-9D90-ED587E0AC22F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Flujo de Caja" sheetId="1" r:id="rId1"/>
    <sheet name="Calendario Actividades" sheetId="2" r:id="rId2"/>
    <sheet name="Supuestos" sheetId="3" r:id="rId3"/>
    <sheet name="Proyeccion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3" l="1"/>
  <c r="V44" i="1"/>
  <c r="T44" i="1"/>
  <c r="P44" i="1"/>
  <c r="K44" i="1"/>
  <c r="J44" i="1"/>
  <c r="H44" i="1"/>
  <c r="V42" i="1"/>
  <c r="U42" i="1"/>
  <c r="T42" i="1"/>
  <c r="S42" i="1"/>
  <c r="D10" i="4" s="1"/>
  <c r="R42" i="1"/>
  <c r="Q42" i="1"/>
  <c r="D9" i="4" s="1"/>
  <c r="P42" i="1"/>
  <c r="O42" i="1"/>
  <c r="N42" i="1"/>
  <c r="M42" i="1"/>
  <c r="L42" i="1"/>
  <c r="K42" i="1"/>
  <c r="D8" i="4" s="1"/>
  <c r="J42" i="1"/>
  <c r="I42" i="1"/>
  <c r="H42" i="1"/>
  <c r="G42" i="1"/>
  <c r="F42" i="1"/>
  <c r="D7" i="4" s="1"/>
  <c r="E42" i="1"/>
  <c r="D42" i="1"/>
  <c r="C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V24" i="1"/>
  <c r="U24" i="1"/>
  <c r="U44" i="1" s="1"/>
  <c r="T24" i="1"/>
  <c r="S24" i="1"/>
  <c r="S44" i="1" s="1"/>
  <c r="R24" i="1"/>
  <c r="R44" i="1" s="1"/>
  <c r="Q24" i="1"/>
  <c r="Q44" i="1" s="1"/>
  <c r="P24" i="1"/>
  <c r="O24" i="1"/>
  <c r="O44" i="1" s="1"/>
  <c r="N24" i="1"/>
  <c r="N44" i="1" s="1"/>
  <c r="M24" i="1"/>
  <c r="M44" i="1" s="1"/>
  <c r="L24" i="1"/>
  <c r="L44" i="1" s="1"/>
  <c r="K24" i="1"/>
  <c r="J24" i="1"/>
  <c r="C8" i="4" s="1"/>
  <c r="E8" i="4" s="1"/>
  <c r="I24" i="1"/>
  <c r="I44" i="1" s="1"/>
  <c r="H24" i="1"/>
  <c r="G24" i="1"/>
  <c r="G44" i="1" s="1"/>
  <c r="F24" i="1"/>
  <c r="F44" i="1" s="1"/>
  <c r="E24" i="1"/>
  <c r="E44" i="1" s="1"/>
  <c r="D24" i="1"/>
  <c r="C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42" i="1" l="1"/>
  <c r="C44" i="1"/>
  <c r="C45" i="1" s="1"/>
  <c r="D7" i="1" s="1"/>
  <c r="D45" i="1" s="1"/>
  <c r="E7" i="1" s="1"/>
  <c r="E45" i="1" s="1"/>
  <c r="D6" i="4"/>
  <c r="D44" i="1"/>
  <c r="W24" i="1"/>
  <c r="D11" i="4"/>
  <c r="C6" i="4"/>
  <c r="C7" i="4"/>
  <c r="E7" i="4" s="1"/>
  <c r="C10" i="4"/>
  <c r="E10" i="4" s="1"/>
  <c r="C9" i="4"/>
  <c r="E9" i="4" s="1"/>
  <c r="F7" i="1" l="1"/>
  <c r="F45" i="1" s="1"/>
  <c r="G7" i="1" s="1"/>
  <c r="G45" i="1" s="1"/>
  <c r="H7" i="1" s="1"/>
  <c r="H45" i="1" s="1"/>
  <c r="I7" i="1" s="1"/>
  <c r="I45" i="1" s="1"/>
  <c r="F6" i="4"/>
  <c r="W44" i="1"/>
  <c r="C20" i="4"/>
  <c r="C19" i="4"/>
  <c r="C18" i="4"/>
  <c r="C11" i="4"/>
  <c r="E6" i="4"/>
  <c r="E11" i="4" s="1"/>
  <c r="F7" i="4"/>
  <c r="J7" i="1"/>
  <c r="J45" i="1" s="1"/>
  <c r="K7" i="1" s="1"/>
  <c r="K45" i="1" s="1"/>
  <c r="L7" i="1" s="1"/>
  <c r="L45" i="1" s="1"/>
  <c r="M7" i="1" s="1"/>
  <c r="M45" i="1" s="1"/>
  <c r="F8" i="4" l="1"/>
  <c r="N7" i="1"/>
  <c r="N45" i="1" s="1"/>
  <c r="O7" i="1" s="1"/>
  <c r="O45" i="1" s="1"/>
  <c r="P7" i="1" s="1"/>
  <c r="P45" i="1" s="1"/>
  <c r="Q7" i="1" s="1"/>
  <c r="Q45" i="1" s="1"/>
  <c r="R7" i="1" s="1"/>
  <c r="R45" i="1" s="1"/>
  <c r="B20" i="4"/>
  <c r="D20" i="4" s="1"/>
  <c r="E20" i="4" s="1"/>
  <c r="B19" i="4"/>
  <c r="D19" i="4" s="1"/>
  <c r="E19" i="4" s="1"/>
  <c r="B18" i="4"/>
  <c r="D18" i="4" s="1"/>
  <c r="E18" i="4" s="1"/>
  <c r="S7" i="1" l="1"/>
  <c r="S45" i="1" s="1"/>
  <c r="T7" i="1" s="1"/>
  <c r="T45" i="1" s="1"/>
  <c r="U7" i="1" s="1"/>
  <c r="U45" i="1" s="1"/>
  <c r="V7" i="1" s="1"/>
  <c r="V45" i="1" s="1"/>
  <c r="F9" i="4"/>
  <c r="W45" i="1" l="1"/>
  <c r="F10" i="4"/>
  <c r="F1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000-000001000000}">
      <text>
        <r>
          <rPr>
            <sz val="10"/>
            <rFont val="Arial"/>
            <family val="2"/>
          </rPr>
          <t>Ingresa aquí el saldo real disponible al iniciar el semestre (17/08/2026).</t>
        </r>
      </text>
    </comment>
  </commentList>
</comments>
</file>

<file path=xl/sharedStrings.xml><?xml version="1.0" encoding="utf-8"?>
<sst xmlns="http://schemas.openxmlformats.org/spreadsheetml/2006/main" count="196" uniqueCount="137">
  <si>
    <t>180DC PUCP — Plan de Sostenibilidad Financiera</t>
  </si>
  <si>
    <t>Flujo de Caja Semanal — Semestre Académico 2026-II</t>
  </si>
  <si>
    <t>S1 = Semana del 17/08/2026 (inicio del semestre)  |  S20 = Semana del 28/12/2026 (cierre del semestre)  |  Moneda: Soles (S/)</t>
  </si>
  <si>
    <t>Categoría</t>
  </si>
  <si>
    <t>Concepto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</si>
  <si>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</si>
  <si>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</si>
  <si>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</si>
  <si>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</si>
  <si>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</si>
  <si>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</si>
  <si>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</si>
  <si>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</si>
  <si>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</si>
  <si>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</si>
  <si>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</si>
  <si>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</si>
  <si>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</si>
  <si>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</si>
  <si>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</si>
  <si>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</si>
  <si>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</si>
  <si>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</si>
  <si>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</si>
  <si>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</si>
  <si>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Total Semestre</t>
  </si>
  <si>
    <t>Semana del</t>
  </si>
  <si>
    <t>17/08</t>
  </si>
  <si>
    <t>24/08</t>
  </si>
  <si>
    <t>31/08</t>
  </si>
  <si>
    <t>07/09</t>
  </si>
  <si>
    <t>14/09</t>
  </si>
  <si>
    <t>21/09</t>
  </si>
  <si>
    <t>28/09</t>
  </si>
  <si>
    <t>05/10</t>
  </si>
  <si>
    <t>12/10</t>
  </si>
  <si>
    <t>19/10</t>
  </si>
  <si>
    <t>26/10</t>
  </si>
  <si>
    <t>02/11</t>
  </si>
  <si>
    <t>09/11</t>
  </si>
  <si>
    <t>16/11</t>
  </si>
  <si>
    <t>23/11</t>
  </si>
  <si>
    <t>30/11</t>
  </si>
  <si>
    <t>07/12</t>
  </si>
  <si>
    <t>14/12</t>
  </si>
  <si>
    <t>21/12</t>
  </si>
  <si>
    <t>28/12</t>
  </si>
  <si>
    <t>SALDO INICIAL</t>
  </si>
  <si>
    <t>(+) INGRESOS</t>
  </si>
  <si>
    <t>Total Ingresos</t>
  </si>
  <si>
    <t>(-) EGRESOS</t>
  </si>
  <si>
    <t>Total Egresos</t>
  </si>
  <si>
    <t>FLUJO NETO</t>
  </si>
  <si>
    <t>SALDO FINAL</t>
  </si>
  <si>
    <t>Calendario de Actividades — Semestre 2026-II</t>
  </si>
  <si>
    <t>Del 17/08/2026 al 28/12/2026</t>
  </si>
  <si>
    <t>Fecha</t>
  </si>
  <si>
    <t>Semana</t>
  </si>
  <si>
    <t>Actividad</t>
  </si>
  <si>
    <t>Tipo</t>
  </si>
  <si>
    <t>¿Genera ingreso/egreso?</t>
  </si>
  <si>
    <t>Notas</t>
  </si>
  <si>
    <t>Ej: Bienvenida del semestre</t>
  </si>
  <si>
    <t>Integración</t>
  </si>
  <si>
    <t>Egreso</t>
  </si>
  <si>
    <t>Editar o borrar — fila de ejemplo</t>
  </si>
  <si>
    <t>Supuestos, Fuentes y Leyenda</t>
  </si>
  <si>
    <t>ESTRUCTURA DE SEMANAS</t>
  </si>
  <si>
    <t>Fechas</t>
  </si>
  <si>
    <t>Lun 17/08 — inicio oficial del semestre</t>
  </si>
  <si>
    <t>28/12 — cierre del semestre</t>
  </si>
  <si>
    <t>Agosto</t>
  </si>
  <si>
    <t>S1 a S3</t>
  </si>
  <si>
    <t>3 semana(s) — ver hoja Proyecciones</t>
  </si>
  <si>
    <t>Septiembre</t>
  </si>
  <si>
    <t>S4 a S7</t>
  </si>
  <si>
    <t>4 semana(s) — ver hoja Proyecciones</t>
  </si>
  <si>
    <t>Octubre</t>
  </si>
  <si>
    <t>S8 a S11</t>
  </si>
  <si>
    <t>Noviembre</t>
  </si>
  <si>
    <t>S12 a S16</t>
  </si>
  <si>
    <t>5 semana(s) — ver hoja Proyecciones</t>
  </si>
  <si>
    <t>Diciembre</t>
  </si>
  <si>
    <t>S17 a S20</t>
  </si>
  <si>
    <t>Saldo real al 17/08/2026</t>
  </si>
  <si>
    <t>Se edita directamente en la celda C7 de la hoja 'Flujo de Caja'.</t>
  </si>
  <si>
    <t>CÓMO AGREGAR NUEVOS PROYECTOS DE INGRESOS/EGRESOS</t>
  </si>
  <si>
    <t>1. Ve a la hoja 'Flujo de Caja'. Cada fila en blanco dentro de INGRESOS o EGRESOS es un proyecto/actividad.</t>
  </si>
  <si>
    <t>2. Escribe el nombre del proyecto en la columna 'Concepto' (columna B) y coloca el monto en la semana (S1...S20) donde se recibe o paga.</t>
  </si>
  <si>
    <t>3. Si necesitas más filas de las disponibles, haz clic derecho sobre una fila existente dentro del bloque (Ingresos o Egresos) → 'Insertar' → así el Total se recalcula automáticamente.</t>
  </si>
  <si>
    <t>4. No edites las filas 'Total Ingresos', 'Total Egresos', 'FLUJO NETO' ni 'SALDO FINAL': son fórmulas.</t>
  </si>
  <si>
    <t>5. Actualiza también la hoja 'Calendario Actividades' con la fecha y el tipo de actividad para llevar el registro completo.</t>
  </si>
  <si>
    <t>LEYENDA DE COLORES</t>
  </si>
  <si>
    <t>Texto azul + fondo amarillo claro</t>
  </si>
  <si>
    <t>Celda editable (input) — aquí se escriben montos y nombres de conceptos</t>
  </si>
  <si>
    <t>Fondo verde claro</t>
  </si>
  <si>
    <t>Encabezado / sección de Ingresos</t>
  </si>
  <si>
    <t>Fondo naranja claro</t>
  </si>
  <si>
    <t>Encabezado / sección de Egresos</t>
  </si>
  <si>
    <t>Fondo amarillo oscuro</t>
  </si>
  <si>
    <t>Filas de totales (fórmulas, no editar)</t>
  </si>
  <si>
    <t>Fondo verde oscuro</t>
  </si>
  <si>
    <t>Saldo final (fórmula, no editar)</t>
  </si>
  <si>
    <t>Texto gris cursiva</t>
  </si>
  <si>
    <t>Fila de ejemplo — se puede editar o borrar</t>
  </si>
  <si>
    <t>Proyecciones Financieras — Semestre 2026-II</t>
  </si>
  <si>
    <t>Resumen mensual construido a partir de 'Flujo de Caja'. Se actualiza automáticamente.</t>
  </si>
  <si>
    <t>RESUMEN MENSUAL</t>
  </si>
  <si>
    <t>Mes</t>
  </si>
  <si>
    <t>Semanas</t>
  </si>
  <si>
    <t>Ingresos</t>
  </si>
  <si>
    <t>Egresos</t>
  </si>
  <si>
    <t>Flujo Neto</t>
  </si>
  <si>
    <t>Saldo Final del Mes</t>
  </si>
  <si>
    <t>S1–S3</t>
  </si>
  <si>
    <t>S4–S7</t>
  </si>
  <si>
    <t>S8–S11</t>
  </si>
  <si>
    <t>S12–S16</t>
  </si>
  <si>
    <t>S17–S20</t>
  </si>
  <si>
    <t>ESCENARIOS DE SENSIBILIDAD</t>
  </si>
  <si>
    <t>Variación de Ingresos (%)</t>
  </si>
  <si>
    <t>Variación de Egresos (%)</t>
  </si>
  <si>
    <t>Escenario</t>
  </si>
  <si>
    <t>Saldo Final Proyectado</t>
  </si>
  <si>
    <t>Pesimista</t>
  </si>
  <si>
    <t>Base</t>
  </si>
  <si>
    <t>Optimista</t>
  </si>
  <si>
    <t>Nota: 'Variación' es un supuesto editable (celdas amarillas) para estresar el resultado base del semestre; no reemplaza el detalle semanal de 'Flujo de Caja'.</t>
  </si>
  <si>
    <t>Stand</t>
  </si>
  <si>
    <t>Actividad Pro-Fondos</t>
  </si>
  <si>
    <t>Membresias</t>
  </si>
  <si>
    <t>Cuota única semestral por miembro</t>
  </si>
  <si>
    <t>Rifas</t>
  </si>
  <si>
    <t>Eventos</t>
  </si>
  <si>
    <t>Gastos de logística (dulces)</t>
  </si>
  <si>
    <t>DEUDA</t>
  </si>
  <si>
    <t>heredada del 2026-I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</si>
</sst>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S/ &quot;* #,##0.00_-;[Red]_-&quot;S/ &quot;* \(#,##0.00\)_-;_-&quot;S/ &quot;* \-??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sz val="11"/>
      <color rgb="FF595959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i/>
      <sz val="10"/>
      <color rgb="FF595959"/>
      <name val="Arial"/>
      <family val="2"/>
    </font>
    <font>
      <sz val="10"/>
      <name val="Arial"/>
      <family val="2"/>
    </font>
    <font>
      <i/>
      <sz val="10"/>
      <color rgb="FF59595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641F1F"/>
        <bgColor rgb="FF800000"/>
      </patternFill>
    </fill>
    <fill>
      <patternFill patternType="solid">
        <fgColor rgb="FFFFFFCC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FFFCC"/>
      </patternFill>
    </fill>
    <fill>
      <patternFill patternType="solid">
        <fgColor rgb="FFFCE4D6"/>
        <bgColor rgb="FFFFF2CC"/>
      </patternFill>
    </fill>
    <fill>
      <patternFill patternType="solid">
        <fgColor rgb="FFC6E0B4"/>
        <b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164" fontId="7" fillId="4" borderId="0" xfId="0" applyNumberFormat="1" applyFont="1" applyFill="1"/>
    <xf numFmtId="164" fontId="8" fillId="0" borderId="0" xfId="0" applyNumberFormat="1" applyFont="1"/>
    <xf numFmtId="0" fontId="6" fillId="5" borderId="0" xfId="0" applyFont="1" applyFill="1"/>
    <xf numFmtId="0" fontId="0" fillId="5" borderId="0" xfId="0" applyFill="1"/>
    <xf numFmtId="0" fontId="9" fillId="6" borderId="0" xfId="0" applyFont="1" applyFill="1"/>
    <xf numFmtId="0" fontId="6" fillId="7" borderId="0" xfId="0" applyFont="1" applyFill="1"/>
    <xf numFmtId="0" fontId="0" fillId="7" borderId="0" xfId="0" applyFill="1"/>
    <xf numFmtId="164" fontId="6" fillId="7" borderId="0" xfId="0" applyNumberFormat="1" applyFont="1" applyFill="1"/>
    <xf numFmtId="0" fontId="6" fillId="8" borderId="0" xfId="0" applyFont="1" applyFill="1"/>
    <xf numFmtId="0" fontId="0" fillId="8" borderId="0" xfId="0" applyFill="1"/>
    <xf numFmtId="164" fontId="8" fillId="7" borderId="0" xfId="0" applyNumberFormat="1" applyFont="1" applyFill="1"/>
    <xf numFmtId="0" fontId="6" fillId="9" borderId="0" xfId="0" applyFont="1" applyFill="1"/>
    <xf numFmtId="0" fontId="0" fillId="9" borderId="0" xfId="0" applyFill="1"/>
    <xf numFmtId="164" fontId="6" fillId="9" borderId="0" xfId="0" applyNumberFormat="1" applyFont="1" applyFill="1"/>
    <xf numFmtId="0" fontId="8" fillId="0" borderId="2" xfId="0" applyFont="1" applyBorder="1"/>
    <xf numFmtId="0" fontId="4" fillId="2" borderId="0" xfId="0" applyFont="1" applyFill="1"/>
    <xf numFmtId="0" fontId="0" fillId="2" borderId="0" xfId="0" applyFill="1"/>
    <xf numFmtId="0" fontId="8" fillId="0" borderId="0" xfId="0" applyFont="1"/>
    <xf numFmtId="164" fontId="7" fillId="0" borderId="0" xfId="0" applyNumberFormat="1" applyFont="1"/>
    <xf numFmtId="0" fontId="4" fillId="3" borderId="0" xfId="0" applyFont="1" applyFill="1" applyAlignment="1">
      <alignment horizontal="center" vertical="center" wrapText="1"/>
    </xf>
    <xf numFmtId="165" fontId="7" fillId="4" borderId="0" xfId="0" applyNumberFormat="1" applyFont="1" applyFill="1"/>
    <xf numFmtId="0" fontId="10" fillId="0" borderId="0" xfId="0" applyFont="1"/>
    <xf numFmtId="0" fontId="10" fillId="6" borderId="0" xfId="0" applyFont="1" applyFill="1"/>
    <xf numFmtId="0" fontId="11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8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41F1F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F2CC"/>
      <rgbColor rgb="FF99CCFF"/>
      <rgbColor rgb="FFFF99CC"/>
      <rgbColor rgb="FFCC99FF"/>
      <rgbColor rgb="FFFCE4D6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ns0:chartSpace xmlns:ns0="http://schemas.openxmlformats.org/drawingml/2006/chart" xmlns:ns1="http://schemas.openxmlformats.org/drawingml/2006/main" xmlns:ns2="http://schemas.microsoft.com/office/drawing/2012/chart" xmlns:ns3="http://schemas.microsoft.com/office/drawing/2014/chart">
  <ns0:date1904 val="0"/>
  <ns0:lang val="es-ES"/>
  <ns0:roundedCorners val="0"/>
  <ns0:style val="2"/>
  <ns0:chart>
    <ns0:title>
      <ns0:tx>
        <ns0:rich>
          <ns1:bodyPr rot="0"/>
          <ns1:lstStyle/>
          <ns1:p>
            <ns1:pPr>
              <ns1:defRPr sz="1800" b="1" strike="noStrike" spc="-1">
                <ns1:solidFill>
                  <ns1:srgbClr val="000000"/>
                </ns1:solidFill>
                <ns1:latin typeface="Calibri"/>
              </ns1:defRPr>
            </ns1:pPr>
            <ns1:r>
              <ns1:rPr sz="1800" b="1" strike="noStrike" spc="-1">
                <ns1:solidFill>
                  <ns1:srgbClr val="000000"/>
                </ns1:solidFill>
                <ns1:latin typeface="Calibri"/>
              </ns1:rPr>
              <ns1:t>Ingresos vs Egresos por Mes</ns1:t>
            </ns1:r>
          </ns1:p>
        </ns0:rich>
      </ns0:tx>
      <ns0:overlay val="0"/>
      <ns0:spPr>
        <ns1:noFill/>
        <ns1:ln w="0">
          <ns1:noFill/>
        </ns1:ln>
      </ns0:spPr>
    </ns0:title>
    <ns0:autoTitleDeleted val="0"/>
    <ns0:plotArea>
      <ns0:layout/>
      <ns0:barChart>
        <ns0:barDir val="col"/>
        <ns0:grouping val="clustered"/>
        <ns0:varyColors val="0"/>
        <ns0:ser>
          <ns0:idx val="0"/>
          <ns0:order val="0"/>
          <ns0:tx>
            <ns0:strRef>
              <ns0:f>Proyecciones!$C$5</ns0:f>
              <ns0:strCache>
                <ns0:ptCount val="1"/>
                <ns0:pt idx="0">
                  <ns0:v>Ingresos</ns0:v>
                </ns0:pt>
              </ns0:strCache>
            </ns0:strRef>
          </ns0:tx>
          <ns0:spPr>
            <ns1:solidFill>
              <ns1:srgbClr val="4F81BD"/>
            </ns1:solidFill>
            <ns1:ln w="0">
              <ns1:noFill/>
            </ns1:ln>
          </ns0:spPr>
          <ns0:invertIfNegative val="0"/>
          <ns0:dLbls>
            <ns0:spPr>
              <ns1:noFill/>
              <ns1:ln>
                <ns1:noFill/>
              </ns1:ln>
              <ns1:effectLst/>
            </ns0:spPr>
            <ns0:txPr>
              <ns1:bodyPr wrap="none"/>
              <ns1:lstStyle/>
              <ns1:p>
                <ns1:pPr>
                  <ns1:defRPr sz="1000" b="0" strike="noStrike" spc="-1">
                    <ns1:latin typeface="Arial"/>
                  </ns1:defRPr>
                </ns1:pPr>
                <ns1:endParaRPr lang="es-PE"/>
              </ns1:p>
            </ns0:txPr>
            <ns0:showLegendKey val="0"/>
            <ns0:showVal val="0"/>
            <ns0:showCatName val="0"/>
            <ns0:showSerName val="0"/>
            <ns0:showPercent val="0"/>
            <ns0:showBubbleSize val="1"/>
            <ns0:separator> </ns0:separator>
            <ns0:showLeaderLines val="0"/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Proyecciones!$A$6:$A$10</ns0:f>
              <ns0:strCache>
                <ns0:ptCount val="5"/>
                <ns0:pt idx="0">
                  <ns0:v>Agosto</ns0:v>
                </ns0:pt>
                <ns0:pt idx="1">
                  <ns0:v>Septiembre</ns0:v>
                </ns0:pt>
                <ns0:pt idx="2">
                  <ns0:v>Octubre</ns0:v>
                </ns0:pt>
                <ns0:pt idx="3">
                  <ns0:v>Noviembre</ns0:v>
                </ns0:pt>
                <ns0:pt idx="4">
                  <ns0:v>Diciembre</ns0:v>
                </ns0:pt>
              </ns0:strCache>
            </ns0:strRef>
          </ns0:cat>
          <ns0:val>
            <ns0:numRef>
              <ns0:f>Proyecciones!$C$6:$C$10</ns0:f>
              <ns0:numCache>
                <ns0:formatCode>_-"S/ "* #,##0.00_-;[Red]_-"S/ "* \(#,##0.00\)_-;_-"S/ "* \-??</ns0:formatCode>
                <ns0:ptCount val="5"/>
                <ns0:pt idx="0">
                  <ns0:v>49</ns0:v>
                </ns0:pt>
                <ns0:pt idx="1">
                  <ns0:v>0</ns0:v>
                </ns0:pt>
                <ns0:pt idx="2">
                  <ns0:v>0</ns0:v>
                </ns0:pt>
                <ns0:pt idx="3">
                  <ns0:v>0</ns0:v>
                </ns0:pt>
                <ns0:pt idx="4">
                  <ns0:v>0</ns0:v>
                </ns0:pt>
              </ns0:numCache>
            </ns0:numRef>
          </ns0:val>
          <ns0:extLst>
            <ns0:ext uri="{C3380CC4-5D6E-409C-BE32-E72D297353CC}">
              <ns3:uniqueId val="{00000000-B9A0-4B83-9AA7-18F5192C98BB}"/>
            </ns0:ext>
          </ns0:extLst>
        </ns0:ser>
        <ns0:ser>
          <ns0:idx val="1"/>
          <ns0:order val="1"/>
          <ns0:tx>
            <ns0:strRef>
              <ns0:f>Proyecciones!$D$5</ns0:f>
              <ns0:strCache>
                <ns0:ptCount val="1"/>
                <ns0:pt idx="0">
                  <ns0:v>Egresos</ns0:v>
                </ns0:pt>
              </ns0:strCache>
            </ns0:strRef>
          </ns0:tx>
          <ns0:spPr>
            <ns1:solidFill>
              <ns1:srgbClr val="C0504D"/>
            </ns1:solidFill>
            <ns1:ln w="0">
              <ns1:noFill/>
            </ns1:ln>
          </ns0:spPr>
          <ns0:invertIfNegative val="0"/>
          <ns0:dLbls>
            <ns0:spPr>
              <ns1:noFill/>
              <ns1:ln>
                <ns1:noFill/>
              </ns1:ln>
              <ns1:effectLst/>
            </ns0:spPr>
            <ns0:txPr>
              <ns1:bodyPr wrap="none"/>
              <ns1:lstStyle/>
              <ns1:p>
                <ns1:pPr>
                  <ns1:defRPr sz="1000" b="0" strike="noStrike" spc="-1">
                    <ns1:latin typeface="Arial"/>
                  </ns1:defRPr>
                </ns1:pPr>
                <ns1:endParaRPr lang="es-PE"/>
              </ns1:p>
            </ns0:txPr>
            <ns0:showLegendKey val="0"/>
            <ns0:showVal val="0"/>
            <ns0:showCatName val="0"/>
            <ns0:showSerName val="0"/>
            <ns0:showPercent val="0"/>
            <ns0:showBubbleSize val="1"/>
            <ns0:separator> </ns0:separator>
            <ns0:showLeaderLines val="0"/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Proyecciones!$A$6:$A$10</ns0:f>
              <ns0:strCache>
                <ns0:ptCount val="5"/>
                <ns0:pt idx="0">
                  <ns0:v>Agosto</ns0:v>
                </ns0:pt>
                <ns0:pt idx="1">
                  <ns0:v>Septiembre</ns0:v>
                </ns0:pt>
                <ns0:pt idx="2">
                  <ns0:v>Octubre</ns0:v>
                </ns0:pt>
                <ns0:pt idx="3">
                  <ns0:v>Noviembre</ns0:v>
                </ns0:pt>
                <ns0:pt idx="4">
                  <ns0:v>Diciembre</ns0:v>
                </ns0:pt>
              </ns0:strCache>
            </ns0:strRef>
          </ns0:cat>
          <ns0:val>
            <ns0:numRef>
              <ns0:f>Proyecciones!$D$6:$D$10</ns0:f>
              <ns0:numCache>
                <ns0:formatCode>_-"S/ "* #,##0.00_-;[Red]_-"S/ "* \(#,##0.00\)_-;_-"S/ "* \-??</ns0:formatCode>
                <ns0:ptCount val="5"/>
                <ns0:pt idx="0">
                  <ns0:v>366.12</ns0:v>
                </ns0:pt>
                <ns0:pt idx="1">
                  <ns0:v>0</ns0:v>
                </ns0:pt>
                <ns0:pt idx="2">
                  <ns0:v>0</ns0:v>
                </ns0:pt>
                <ns0:pt idx="3">
                  <ns0:v>0</ns0:v>
                </ns0:pt>
                <ns0:pt idx="4">
                  <ns0:v>0</ns0:v>
                </ns0:pt>
              </ns0:numCache>
            </ns0:numRef>
          </ns0:val>
          <ns0:extLst>
            <ns0:ext uri="{C3380CC4-5D6E-409C-BE32-E72D297353CC}">
              <ns3:uniqueId val="{00000001-B9A0-4B83-9AA7-18F5192C98BB}"/>
            </ns0:ext>
          </ns0:extLst>
        </ns0:ser>
        <ns0:dLbls>
          <ns0:showLegendKey val="0"/>
          <ns0:showVal val="0"/>
          <ns0:showCatName val="0"/>
          <ns0:showSerName val="0"/>
          <ns0:showPercent val="0"/>
          <ns0:showBubbleSize val="0"/>
        </ns0:dLbls>
        <ns0:gapWidth val="150"/>
        <ns0:axId val="6046208"/>
        <ns0:axId val="78514799"/>
      </ns0:barChart>
      <ns0:catAx>
        <ns0:axId val="6046208"/>
        <ns0:scaling>
          <ns0:orientation val="minMax"/>
        </ns0:scaling>
        <ns0:delete val="0"/>
        <ns0:axPos val="b"/>
        <ns0:title>
          <ns0:tx>
            <ns0:rich>
              <ns1:bodyPr rot="0"/>
              <ns1:lstStyle/>
              <ns1:p>
                <ns1:pPr>
                  <ns1:defRPr sz="1000" b="1" strike="noStrike" spc="-1">
                    <ns1:solidFill>
                      <ns1:srgbClr val="000000"/>
                    </ns1:solidFill>
                    <ns1:latin typeface="Calibri"/>
                  </ns1:defRPr>
                </ns1:pPr>
                <ns1:r>
                  <ns1:rPr sz="1000" b="1" strike="noStrike" spc="-1">
                    <ns1:solidFill>
                      <ns1:srgbClr val="000000"/>
                    </ns1:solidFill>
                    <ns1:latin typeface="Calibri"/>
                  </ns1:rPr>
                  <ns1:t>Mes</ns1:t>
                </ns1:r>
              </ns1:p>
            </ns0:rich>
          </ns0:tx>
          <ns0:overlay val="0"/>
          <ns0:spPr>
            <ns1:noFill/>
            <ns1:ln w="0">
              <ns1:noFill/>
            </ns1:ln>
          </ns0:spPr>
        </ns0:title>
        <ns0:numFmt formatCode="General" sourceLinked="1"/>
        <ns0:majorTickMark val="none"/>
        <ns0:minorTickMark val="none"/>
        <ns0:tickLblPos val="nextTo"/>
        <ns0:spPr>
          <ns1:ln w="9360">
            <ns1:solidFill>
              <ns1:srgbClr val="878787"/>
            </ns1:solidFill>
            <ns1:round/>
          </ns1:ln>
        </ns0:spPr>
        <ns0:txPr>
          <ns1:bodyPr/>
          <ns1:lstStyle/>
          <ns1:p>
            <ns1:pPr>
              <ns1:defRPr sz="1000" b="0" strike="noStrike" spc="-1">
                <ns1:solidFill>
                  <ns1:srgbClr val="000000"/>
                </ns1:solidFill>
                <ns1:latin typeface="Calibri"/>
              </ns1:defRPr>
            </ns1:pPr>
            <ns1:endParaRPr lang="es-PE"/>
          </ns1:p>
        </ns0:txPr>
        <ns0:crossAx val="78514799"/>
        <ns0:crosses val="autoZero"/>
        <ns0:auto val="1"/>
        <ns0:lblAlgn val="ctr"/>
        <ns0:lblOffset val="100"/>
        <ns0:noMultiLvlLbl val="0"/>
      </ns0:catAx>
      <ns0:valAx>
        <ns0:axId val="78514799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878787"/>
              </ns1:solidFill>
              <ns1:round/>
            </ns1:ln>
          </ns0:spPr>
        </ns0:majorGridlines>
        <ns0:title>
          <ns0:tx>
            <ns0:rich>
              <ns1:bodyPr rot="-5400000"/>
              <ns1:lstStyle/>
              <ns1:p>
                <ns1:pPr>
                  <ns1:defRPr sz="1000" b="1" strike="noStrike" spc="-1">
                    <ns1:solidFill>
                      <ns1:srgbClr val="000000"/>
                    </ns1:solidFill>
                    <ns1:latin typeface="Calibri"/>
                  </ns1:defRPr>
                </ns1:pPr>
                <ns1:r>
                  <ns1:rPr sz="1000" b="1" strike="noStrike" spc="-1">
                    <ns1:solidFill>
                      <ns1:srgbClr val="000000"/>
                    </ns1:solidFill>
                    <ns1:latin typeface="Calibri"/>
                  </ns1:rPr>
                  <ns1:t>S/</ns1:t>
                </ns1:r>
              </ns1:p>
            </ns0:rich>
          </ns0:tx>
          <ns0:overlay val="0"/>
          <ns0:spPr>
            <ns1:noFill/>
            <ns1:ln w="0">
              <ns1:noFill/>
            </ns1:ln>
          </ns0:spPr>
        </ns0:title>
        <ns0:numFmt formatCode="_-&quot;S/ &quot;* #,##0.00_-;[Red]_-&quot;S/ &quot;* \(#,##0.00\)_-;_-&quot;S/ &quot;* \-??" sourceLinked="1"/>
        <ns0:majorTickMark val="none"/>
        <ns0:minorTickMark val="none"/>
        <ns0:tickLblPos val="nextTo"/>
        <ns0:spPr>
          <ns1:ln w="9360">
            <ns1:solidFill>
              <ns1:srgbClr val="878787"/>
            </ns1:solidFill>
            <ns1:round/>
          </ns1:ln>
        </ns0:spPr>
        <ns0:txPr>
          <ns1:bodyPr/>
          <ns1:lstStyle/>
          <ns1:p>
            <ns1:pPr>
              <ns1:defRPr sz="1000" b="0" strike="noStrike" spc="-1">
                <ns1:solidFill>
                  <ns1:srgbClr val="000000"/>
                </ns1:solidFill>
                <ns1:latin typeface="Calibri"/>
              </ns1:defRPr>
            </ns1:pPr>
            <ns1:endParaRPr lang="es-PE"/>
          </ns1:p>
        </ns0:txPr>
        <ns0:crossAx val="6046208"/>
        <ns0:crosses val="autoZero"/>
        <ns0:crossBetween val="between"/>
      </ns0:valAx>
      <ns0:spPr>
        <ns1:noFill/>
        <ns1:ln w="0">
          <ns1:noFill/>
        </ns1:ln>
      </ns0:spPr>
    </ns0:plotArea>
    <ns0:legend>
      <ns0:legendPos val="r"/>
      <ns0:overlay val="0"/>
      <ns0:spPr>
        <ns1:noFill/>
        <ns1:ln w="0">
          <ns1:noFill/>
        </ns1:ln>
      </ns0:spPr>
      <ns0:txPr>
        <ns1:bodyPr/>
        <ns1:lstStyle/>
        <ns1:p>
          <ns1:pPr>
            <ns1:defRPr sz="1000" b="0" strike="noStrike" spc="-1">
              <ns1:solidFill>
                <ns1:srgbClr val="000000"/>
              </ns1:solidFill>
              <ns1:latin typeface="Calibri"/>
            </ns1:defRPr>
          </ns1:pPr>
          <ns1:endParaRPr lang="es-PE"/>
        </ns1:p>
      </ns0:txPr>
    </ns0:legend>
    <ns0:plotVisOnly val="1"/>
    <ns0:dispBlanksAs val="gap"/>
    <ns0:showDLblsOverMax val="1"/>
  </ns0:chart>
  <ns0:spPr>
    <ns1:solidFill>
      <ns1:srgbClr val="FFFFFF"/>
    </ns1:solidFill>
    <ns1:ln w="9360">
      <ns1:solidFill>
        <ns1:srgbClr val="D9D9D9"/>
      </ns1:solidFill>
      <ns1:round/>
    </ns1:ln>
  </ns0:spPr>
  <ns0:printSettings>
    <ns0:headerFooter/>
    <ns0:pageMargins b="0.75" l="0.7" r="0.7" t="0.75" header="0.3" footer="0.3"/>
    <ns0:pageSetup/>
  </ns0:printSettings>
</ns0:chartSpace>
</file>

<file path=xl/charts/chart2.xml><?xml version="1.0" encoding="utf-8"?>
<ns0:chartSpace xmlns:ns0="http://schemas.openxmlformats.org/drawingml/2006/chart" xmlns:ns1="http://schemas.openxmlformats.org/drawingml/2006/main" xmlns:ns2="http://schemas.microsoft.com/office/drawing/2012/chart" xmlns:ns3="http://schemas.microsoft.com/office/drawing/2014/chart">
  <ns0:date1904 val="0"/>
  <ns0:lang val="es-ES"/>
  <ns0:roundedCorners val="0"/>
  <ns0:style val="2"/>
  <ns0:chart>
    <ns0:title>
      <ns0:tx>
        <ns0:rich>
          <ns1:bodyPr rot="0"/>
          <ns1:lstStyle/>
          <ns1:p>
            <ns1:pPr>
              <ns1:defRPr sz="1800" b="1" strike="noStrike" spc="-1">
                <ns1:solidFill>
                  <ns1:srgbClr val="000000"/>
                </ns1:solidFill>
                <ns1:latin typeface="Calibri"/>
              </ns1:defRPr>
            </ns1:pPr>
            <ns1:r>
              <ns1:rPr sz="1800" b="1" strike="noStrike" spc="-1">
                <ns1:solidFill>
                  <ns1:srgbClr val="000000"/>
                </ns1:solidFill>
                <ns1:latin typeface="Calibri"/>
              </ns1:rPr>
              <ns1:t>Saldo Final Proyectado por Mes</ns1:t>
            </ns1:r>
          </ns1:p>
        </ns0:rich>
      </ns0:tx>
      <ns0:overlay val="0"/>
      <ns0:spPr>
        <ns1:noFill/>
        <ns1:ln w="0">
          <ns1:noFill/>
        </ns1:ln>
      </ns0:spPr>
    </ns0:title>
    <ns0:autoTitleDeleted val="0"/>
    <ns0:plotArea>
      <ns0:layout/>
      <ns0:lineChart>
        <ns0:grouping val="standard"/>
        <ns0:varyColors val="0"/>
        <ns0:ser>
          <ns0:idx val="0"/>
          <ns0:order val="0"/>
          <ns0:tx>
            <ns0:strRef>
              <ns0:f>Proyecciones!$F$5</ns0:f>
              <ns0:strCache>
                <ns0:ptCount val="1"/>
                <ns0:pt idx="0">
                  <ns0:v>Saldo Final del Mes</ns0:v>
                </ns0:pt>
              </ns0:strCache>
            </ns0:strRef>
          </ns0:tx>
          <ns0:spPr>
            <ns1:ln w="28440">
              <ns1:solidFill>
                <ns1:srgbClr val="4A7EBB"/>
              </ns1:solidFill>
              <ns1:round/>
            </ns1:ln>
          </ns0:spPr>
          <ns0:marker>
            <ns0:symbol val="none"/>
          </ns0:marker>
          <ns0:dLbls>
            <ns0:spPr>
              <ns1:noFill/>
              <ns1:ln>
                <ns1:noFill/>
              </ns1:ln>
              <ns1:effectLst/>
            </ns0:spPr>
            <ns0:txPr>
              <ns1:bodyPr wrap="none"/>
              <ns1:lstStyle/>
              <ns1:p>
                <ns1:pPr>
                  <ns1:defRPr sz="1000" b="0" strike="noStrike" spc="-1">
                    <ns1:latin typeface="Arial"/>
                  </ns1:defRPr>
                </ns1:pPr>
                <ns1:endParaRPr lang="es-PE"/>
              </ns1:p>
            </ns0:txPr>
            <ns0:showLegendKey val="0"/>
            <ns0:showVal val="0"/>
            <ns0:showCatName val="0"/>
            <ns0:showSerName val="0"/>
            <ns0:showPercent val="0"/>
            <ns0:showBubbleSize val="1"/>
            <ns0:separator> </ns0:separator>
            <ns0:showLeaderLines val="0"/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Proyecciones!$A$6:$A$10</ns0:f>
              <ns0:strCache>
                <ns0:ptCount val="5"/>
                <ns0:pt idx="0">
                  <ns0:v>Agosto</ns0:v>
                </ns0:pt>
                <ns0:pt idx="1">
                  <ns0:v>Septiembre</ns0:v>
                </ns0:pt>
                <ns0:pt idx="2">
                  <ns0:v>Octubre</ns0:v>
                </ns0:pt>
                <ns0:pt idx="3">
                  <ns0:v>Noviembre</ns0:v>
                </ns0:pt>
                <ns0:pt idx="4">
                  <ns0:v>Diciembre</ns0:v>
                </ns0:pt>
              </ns0:strCache>
            </ns0:strRef>
          </ns0:cat>
          <ns0:val>
            <ns0:numRef>
              <ns0:f>Proyecciones!$F$6:$F$10</ns0:f>
              <ns0:numCache>
                <ns0:formatCode>_-"S/ "* #,##0.00_-;[Red]_-"S/ "* \(#,##0.00\)_-;_-"S/ "* \-??</ns0:formatCode>
                <ns0:ptCount val="5"/>
                <ns0:pt idx="0">
                  <ns0:v>-224.25</ns0:v>
                </ns0:pt>
                <ns0:pt idx="1">
                  <ns0:v>-224.25</ns0:v>
                </ns0:pt>
                <ns0:pt idx="2">
                  <ns0:v>-224.25</ns0:v>
                </ns0:pt>
                <ns0:pt idx="3">
                  <ns0:v>-224.25</ns0:v>
                </ns0:pt>
                <ns0:pt idx="4">
                  <ns0:v>-224.25</ns0:v>
                </ns0:pt>
              </ns0:numCache>
            </ns0:numRef>
          </ns0:val>
          <ns0:smooth val="1"/>
          <ns0:extLst>
            <ns0:ext uri="{C3380CC4-5D6E-409C-BE32-E72D297353CC}">
              <ns3:uniqueId val="{00000000-0043-41AE-A93F-B63966BF323A}"/>
            </ns0:ext>
          </ns0:extLst>
        </ns0:ser>
        <ns0:dLbls>
          <ns0:showLegendKey val="0"/>
          <ns0:showVal val="0"/>
          <ns0:showCatName val="0"/>
          <ns0:showSerName val="0"/>
          <ns0:showPercent val="0"/>
          <ns0:showBubbleSize val="0"/>
        </ns0:dLbls>
        <ns0:hiLowLines>
          <ns0:spPr>
            <ns1:ln w="0">
              <ns1:noFill/>
            </ns1:ln>
          </ns0:spPr>
        </ns0:hiLowLines>
        <ns0:smooth val="0"/>
        <ns0:axId val="76813354"/>
        <ns0:axId val="29936279"/>
      </ns0:lineChart>
      <ns0:catAx>
        <ns0:axId val="76813354"/>
        <ns0:scaling>
          <ns0:orientation val="minMax"/>
        </ns0:scaling>
        <ns0:delete val="0"/>
        <ns0:axPos val="b"/>
        <ns0:title>
          <ns0:tx>
            <ns0:rich>
              <ns1:bodyPr rot="0"/>
              <ns1:lstStyle/>
              <ns1:p>
                <ns1:pPr>
                  <ns1:defRPr sz="1000" b="1" strike="noStrike" spc="-1">
                    <ns1:solidFill>
                      <ns1:srgbClr val="000000"/>
                    </ns1:solidFill>
                    <ns1:latin typeface="Calibri"/>
                  </ns1:defRPr>
                </ns1:pPr>
                <ns1:r>
                  <ns1:rPr sz="1000" b="1" strike="noStrike" spc="-1">
                    <ns1:solidFill>
                      <ns1:srgbClr val="000000"/>
                    </ns1:solidFill>
                    <ns1:latin typeface="Calibri"/>
                  </ns1:rPr>
                  <ns1:t>Mes</ns1:t>
                </ns1:r>
              </ns1:p>
            </ns0:rich>
          </ns0:tx>
          <ns0:overlay val="0"/>
          <ns0:spPr>
            <ns1:noFill/>
            <ns1:ln w="0">
              <ns1:noFill/>
            </ns1:ln>
          </ns0:spPr>
        </ns0:title>
        <ns0:numFmt formatCode="General" sourceLinked="1"/>
        <ns0:majorTickMark val="none"/>
        <ns0:minorTickMark val="none"/>
        <ns0:tickLblPos val="nextTo"/>
        <ns0:spPr>
          <ns1:ln w="9360">
            <ns1:solidFill>
              <ns1:srgbClr val="878787"/>
            </ns1:solidFill>
            <ns1:round/>
          </ns1:ln>
        </ns0:spPr>
        <ns0:txPr>
          <ns1:bodyPr/>
          <ns1:lstStyle/>
          <ns1:p>
            <ns1:pPr>
              <ns1:defRPr sz="1000" b="0" strike="noStrike" spc="-1">
                <ns1:solidFill>
                  <ns1:srgbClr val="000000"/>
                </ns1:solidFill>
                <ns1:latin typeface="Calibri"/>
              </ns1:defRPr>
            </ns1:pPr>
            <ns1:endParaRPr lang="es-PE"/>
          </ns1:p>
        </ns0:txPr>
        <ns0:crossAx val="29936279"/>
        <ns0:crosses val="autoZero"/>
        <ns0:auto val="1"/>
        <ns0:lblAlgn val="ctr"/>
        <ns0:lblOffset val="100"/>
        <ns0:noMultiLvlLbl val="0"/>
      </ns0:catAx>
      <ns0:valAx>
        <ns0:axId val="29936279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878787"/>
              </ns1:solidFill>
              <ns1:round/>
            </ns1:ln>
          </ns0:spPr>
        </ns0:majorGridlines>
        <ns0:title>
          <ns0:tx>
            <ns0:rich>
              <ns1:bodyPr rot="-5400000"/>
              <ns1:lstStyle/>
              <ns1:p>
                <ns1:pPr>
                  <ns1:defRPr sz="1000" b="1" strike="noStrike" spc="-1">
                    <ns1:solidFill>
                      <ns1:srgbClr val="000000"/>
                    </ns1:solidFill>
                    <ns1:latin typeface="Calibri"/>
                  </ns1:defRPr>
                </ns1:pPr>
                <ns1:r>
                  <ns1:rPr sz="1000" b="1" strike="noStrike" spc="-1">
                    <ns1:solidFill>
                      <ns1:srgbClr val="000000"/>
                    </ns1:solidFill>
                    <ns1:latin typeface="Calibri"/>
                  </ns1:rPr>
                  <ns1:t>S/</ns1:t>
                </ns1:r>
              </ns1:p>
            </ns0:rich>
          </ns0:tx>
          <ns0:overlay val="0"/>
          <ns0:spPr>
            <ns1:noFill/>
            <ns1:ln w="0">
              <ns1:noFill/>
            </ns1:ln>
          </ns0:spPr>
        </ns0:title>
        <ns0:numFmt formatCode="_-&quot;S/ &quot;* #,##0.00_-;[Red]_-&quot;S/ &quot;* \(#,##0.00\)_-;_-&quot;S/ &quot;* \-??" sourceLinked="1"/>
        <ns0:majorTickMark val="none"/>
        <ns0:minorTickMark val="none"/>
        <ns0:tickLblPos val="nextTo"/>
        <ns0:spPr>
          <ns1:ln w="9360">
            <ns1:solidFill>
              <ns1:srgbClr val="878787"/>
            </ns1:solidFill>
            <ns1:round/>
          </ns1:ln>
        </ns0:spPr>
        <ns0:txPr>
          <ns1:bodyPr/>
          <ns1:lstStyle/>
          <ns1:p>
            <ns1:pPr>
              <ns1:defRPr sz="1000" b="0" strike="noStrike" spc="-1">
                <ns1:solidFill>
                  <ns1:srgbClr val="000000"/>
                </ns1:solidFill>
                <ns1:latin typeface="Calibri"/>
              </ns1:defRPr>
            </ns1:pPr>
            <ns1:endParaRPr lang="es-PE"/>
          </ns1:p>
        </ns0:txPr>
        <ns0:crossAx val="76813354"/>
        <ns0:crosses val="autoZero"/>
        <ns0:crossBetween val="between"/>
      </ns0:valAx>
      <ns0:spPr>
        <ns1:noFill/>
        <ns1:ln w="0">
          <ns1:noFill/>
        </ns1:ln>
      </ns0:spPr>
    </ns0:plotArea>
    <ns0:legend>
      <ns0:legendPos val="r"/>
      <ns0:overlay val="0"/>
      <ns0:spPr>
        <ns1:noFill/>
        <ns1:ln w="0">
          <ns1:noFill/>
        </ns1:ln>
      </ns0:spPr>
      <ns0:txPr>
        <ns1:bodyPr/>
        <ns1:lstStyle/>
        <ns1:p>
          <ns1:pPr>
            <ns1:defRPr sz="1000" b="0" strike="noStrike" spc="-1">
              <ns1:solidFill>
                <ns1:srgbClr val="000000"/>
              </ns1:solidFill>
              <ns1:latin typeface="Calibri"/>
            </ns1:defRPr>
          </ns1:pPr>
          <ns1:endParaRPr lang="es-PE"/>
        </ns1:p>
      </ns0:txPr>
    </ns0:legend>
    <ns0:plotVisOnly val="1"/>
    <ns0:dispBlanksAs val="gap"/>
    <ns0:showDLblsOverMax val="1"/>
  </ns0:chart>
  <ns0:spPr>
    <ns1:solidFill>
      <ns1:srgbClr val="FFFFFF"/>
    </ns1:solidFill>
    <ns1:ln w="9360">
      <ns1:solidFill>
        <ns1:srgbClr val="D9D9D9"/>
      </ns1:solidFill>
      <ns1:round/>
    </ns1:ln>
  </ns0:spPr>
  <ns0:printSettings>
    <ns0:headerFooter/>
    <ns0:pageMargins b="0.75" l="0.7" r="0.7" t="0.75" header="0.3" footer="0.3"/>
    <ns0:pageSetup/>
  </ns0:printSettings>
</ns0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126360</xdr:rowOff>
    </xdr:from>
    <xdr:to>
      <xdr:col>5</xdr:col>
      <xdr:colOff>120960</xdr:colOff>
      <xdr:row>36</xdr:row>
      <xdr:rowOff>55080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38</xdr:row>
      <xdr:rowOff>33120</xdr:rowOff>
    </xdr:from>
    <xdr:to>
      <xdr:col>5</xdr:col>
      <xdr:colOff>120960</xdr:colOff>
      <xdr:row>53</xdr:row>
      <xdr:rowOff>55440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alendario" displayName="TablaCalendario" ref="A4:F25" totalsRowShown="0">
  <autoFilter ref="A4:F25" xr:uid="{00000000-0009-0000-0100-000001000000}"/>
  <tableColumns count="6">
    <tableColumn id="1" xr3:uid="{00000000-0010-0000-0000-000001000000}" name="Fecha"/>
    <tableColumn id="2" xr3:uid="{00000000-0010-0000-0000-000002000000}" name="Semana"/>
    <tableColumn id="3" xr3:uid="{00000000-0010-0000-0000-000003000000}" name="Actividad"/>
    <tableColumn id="4" xr3:uid="{00000000-0010-0000-0000-000004000000}" name="Tipo"/>
    <tableColumn id="5" xr3:uid="{00000000-0010-0000-0000-000005000000}" name="¿Genera ingreso/egreso?"/>
    <tableColumn id="6" xr3:uid="{00000000-0010-0000-0000-000006000000}" name="Not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ns0:dimension ref="A1:W45"/>
  <ns0:sheetViews>
    <ns0:sheetView showGridLines="0" tabSelected="1" zoomScaleNormal="100" workbookViewId="0">
      <ns0:pane xSplit="2" ySplit="6" topLeftCell="C15" activePane="bottomRight" state="frozen"/>
      <ns0:selection pane="topRight" activeCell="C1" sqref="C1"/>
      <ns0:selection pane="bottomLeft" activeCell="A7" sqref="A7"/>
      <ns0:selection pane="bottomRight" activeCell="D27" sqref="D27"/>
    </ns0:sheetView>
  </ns0:sheetViews>
  <ns0:sheetFormatPr baseColWidth="10" defaultColWidth="8.7109375" defaultRowHeight="15" ns3:dyDescent="0.25"/>
  <ns0:cols>
    <ns0:col min="1" max="1" width="17.140625" customWidth="1"/>
    <ns0:col min="2" max="2" width="34" customWidth="1"/>
    <ns0:col min="3" max="22" width="11.28515625" customWidth="1"/>
    <ns0:col min="23" max="23" width="13.42578125" customWidth="1"/>
  </ns0:cols>
  <ns0:sheetData>
    <ns0:row r="1" spans="1:23" ht="19.5" customHeight="1" ns3:dyDescent="0.25">
      <ns0:c r="A1" s="31" t="s">
        <ns0:v>0</ns0:v>
      </ns0:c>
      <ns0:c r="B1" s="31"/>
      <ns0:c r="C1" s="31"/>
      <ns0:c r="D1" s="31"/>
      <ns0:c r="E1" s="31"/>
      <ns0:c r="F1" s="31"/>
      <ns0:c r="G1" s="31"/>
      <ns0:c r="H1" s="31"/>
      <ns0:c r="I1" s="31"/>
      <ns0:c r="J1" s="31"/>
      <ns0:c r="K1" s="31"/>
      <ns0:c r="L1" s="31"/>
      <ns0:c r="M1" s="31"/>
      <ns0:c r="N1" s="31"/>
      <ns0:c r="O1" s="31"/>
      <ns0:c r="P1" s="31"/>
      <ns0:c r="Q1" s="31"/>
      <ns0:c r="R1" s="31"/>
      <ns0:c r="S1" s="31"/>
      <ns0:c r="T1" s="31"/>
      <ns0:c r="U1" s="31"/>
      <ns0:c r="V1" s="31"/>
      <ns0:c r="W1" s="31"/>
    </ns0:row>
    <ns0:row r="2" spans="1:23" ht="15" customHeight="1" ns3:dyDescent="0.25">
      <ns0:c r="A2" s="32" t="s">
        <ns0:v>1</ns0:v>
      </ns0:c>
      <ns0:c r="B2" s="32"/>
      <ns0:c r="C2" s="32"/>
      <ns0:c r="D2" s="32"/>
      <ns0:c r="E2" s="32"/>
      <ns0:c r="F2" s="32"/>
      <ns0:c r="G2" s="32"/>
      <ns0:c r="H2" s="32"/>
      <ns0:c r="I2" s="32"/>
      <ns0:c r="J2" s="32"/>
      <ns0:c r="K2" s="32"/>
      <ns0:c r="L2" s="32"/>
      <ns0:c r="M2" s="32"/>
      <ns0:c r="N2" s="32"/>
      <ns0:c r="O2" s="32"/>
      <ns0:c r="P2" s="32"/>
      <ns0:c r="Q2" s="32"/>
      <ns0:c r="R2" s="32"/>
      <ns0:c r="S2" s="32"/>
      <ns0:c r="T2" s="32"/>
      <ns0:c r="U2" s="32"/>
      <ns0:c r="V2" s="32"/>
      <ns0:c r="W2" s="32"/>
    </ns0:row>
    <ns0:row r="3" spans="1:23" ht="15" customHeight="1" ns3:dyDescent="0.25">
      <ns0:c r="A3" s="33" t="s">
        <ns0:v>2</ns0:v>
      </ns0:c>
      <ns0:c r="B3" s="33"/>
      <ns0:c r="C3" s="33"/>
      <ns0:c r="D3" s="33"/>
      <ns0:c r="E3" s="33"/>
      <ns0:c r="F3" s="33"/>
      <ns0:c r="G3" s="33"/>
      <ns0:c r="H3" s="33"/>
      <ns0:c r="I3" s="33"/>
      <ns0:c r="J3" s="33"/>
      <ns0:c r="K3" s="33"/>
      <ns0:c r="L3" s="33"/>
      <ns0:c r="M3" s="33"/>
      <ns0:c r="N3" s="33"/>
      <ns0:c r="O3" s="33"/>
      <ns0:c r="P3" s="33"/>
      <ns0:c r="Q3" s="33"/>
      <ns0:c r="R3" s="33"/>
      <ns0:c r="S3" s="33"/>
      <ns0:c r="T3" s="33"/>
      <ns0:c r="U3" s="33"/>
      <ns0:c r="V3" s="33"/>
      <ns0:c r="W3" s="33"/>
    </ns0:row>
    <ns0:row r="5" spans="1:23" ht="15" customHeight="1" ns3:dyDescent="0.25">
      <ns0:c r="A5" s="1" t="s">
        <ns0:v>3</ns0:v>
      </ns0:c>
      <ns0:c r="B5" s="1" t="s">
        <ns0:v>4</ns0:v>
      </ns0:c>
      <ns0:c r="C5" s="2" t="s">
        <ns0:v>5</ns0:v>
      </ns0:c>
      <ns0:c r="D5" s="2" t="s">
        <ns0:v>6</ns0:v>
      </ns0:c>
      <ns0:c r="E5" s="2" t="s">
        <ns0:v>7</ns0:v>
      </ns0:c>
      <ns0:c r="F5" s="2" t="s">
        <ns0:v>8</ns0:v>
      </ns0:c>
      <ns0:c r="G5" s="2" t="s">
        <ns0:v>9</ns0:v>
      </ns0:c>
      <ns0:c r="H5" s="2" t="s">
        <ns0:v>10</ns0:v>
      </ns0:c>
      <ns0:c r="I5" s="2" t="s">
        <ns0:v>11</ns0:v>
      </ns0:c>
      <ns0:c r="J5" s="2" t="s">
        <ns0:v>12</ns0:v>
      </ns0:c>
      <ns0:c r="K5" s="2" t="s">
        <ns0:v>13</ns0:v>
      </ns0:c>
      <ns0:c r="L5" s="2" t="s">
        <ns0:v>14</ns0:v>
      </ns0:c>
      <ns0:c r="M5" s="2" t="s">
        <ns0:v>15</ns0:v>
      </ns0:c>
      <ns0:c r="N5" s="2" t="s">
        <ns0:v>16</ns0:v>
      </ns0:c>
      <ns0:c r="O5" s="2" t="s">
        <ns0:v>17</ns0:v>
      </ns0:c>
      <ns0:c r="P5" s="2" t="s">
        <ns0:v>18</ns0:v>
      </ns0:c>
      <ns0:c r="Q5" s="2" t="s">
        <ns0:v>19</ns0:v>
      </ns0:c>
      <ns0:c r="R5" s="2" t="s">
        <ns0:v>20</ns0:v>
      </ns0:c>
      <ns0:c r="S5" s="2" t="s">
        <ns0:v>21</ns0:v>
      </ns0:c>
      <ns0:c r="T5" s="2" t="s">
        <ns0:v>22</ns0:v>
      </ns0:c>
      <ns0:c r="U5" s="2" t="s">
        <ns0:v>23</ns0:v>
      </ns0:c>
      <ns0:c r="V5" s="2" t="s">
        <ns0:v>24</ns0:v>
      </ns0:c>
      <ns0:c r="W5" s="3" t="s">
        <ns0:v>25</ns0:v>
      </ns0:c>
    </ns0:row>
    <ns0:row r="6" spans="1:23" ht="15" customHeight="1" ns3:dyDescent="0.25">
      <ns0:c r="A6" s="4" t="s">
        <ns0:v>26</ns0:v>
      </ns0:c>
      <ns0:c r="C6" s="5" t="s">
        <ns0:v>27</ns0:v>
      </ns0:c>
      <ns0:c r="D6" s="5" t="s">
        <ns0:v>28</ns0:v>
      </ns0:c>
      <ns0:c r="E6" s="5" t="s">
        <ns0:v>29</ns0:v>
      </ns0:c>
      <ns0:c r="F6" s="5" t="s">
        <ns0:v>30</ns0:v>
      </ns0:c>
      <ns0:c r="G6" s="5" t="s">
        <ns0:v>31</ns0:v>
      </ns0:c>
      <ns0:c r="H6" s="5" t="s">
        <ns0:v>32</ns0:v>
      </ns0:c>
      <ns0:c r="I6" s="5" t="s">
        <ns0:v>33</ns0:v>
      </ns0:c>
      <ns0:c r="J6" s="5" t="s">
        <ns0:v>34</ns0:v>
      </ns0:c>
      <ns0:c r="K6" s="5" t="s">
        <ns0:v>35</ns0:v>
      </ns0:c>
      <ns0:c r="L6" s="5" t="s">
        <ns0:v>36</ns0:v>
      </ns0:c>
      <ns0:c r="M6" s="5" t="s">
        <ns0:v>37</ns0:v>
      </ns0:c>
      <ns0:c r="N6" s="5" t="s">
        <ns0:v>38</ns0:v>
      </ns0:c>
      <ns0:c r="O6" s="5" t="s">
        <ns0:v>39</ns0:v>
      </ns0:c>
      <ns0:c r="P6" s="5" t="s">
        <ns0:v>40</ns0:v>
      </ns0:c>
      <ns0:c r="Q6" s="5" t="s">
        <ns0:v>41</ns0:v>
      </ns0:c>
      <ns0:c r="R6" s="5" t="s">
        <ns0:v>42</ns0:v>
      </ns0:c>
      <ns0:c r="S6" s="5" t="s">
        <ns0:v>43</ns0:v>
      </ns0:c>
      <ns0:c r="T6" s="5" t="s">
        <ns0:v>44</ns0:v>
      </ns0:c>
      <ns0:c r="U6" s="5" t="s">
        <ns0:v>45</ns0:v>
      </ns0:c>
      <ns0:c r="V6" s="5" t="s">
        <ns0:v>46</ns0:v>
      </ns0:c>
    </ns0:row>
    <ns0:row r="7" spans="1:23" ht="15" customHeight="1" ns3:dyDescent="0.25">
      <ns0:c r="A7" s="6" t="s">
        <ns0:v>47</ns0:v>
      </ns0:c>
      <ns0:c r="C7" s="7">
        <ns0:v>92.87</ns0:v>
      </ns0:c>
      <ns0:c r="D7" s="8">
        <ns0:f t="shared" ref="D7:V7" si="0">C45</ns0:f>
        <ns0:v>-251.25</ns0:v>
      </ns0:c>
      <ns0:c r="E7" s="8">
        <ns0:f t="shared" si="0"/>
        <ns0:v>-229.25</ns0:v>
      </ns0:c>
      <ns0:c r="F7" s="8">
        <ns0:f t="shared" si="0"/>
        <ns0:v>-224.25</ns0:v>
      </ns0:c>
      <ns0:c r="G7" s="8">
        <ns0:f t="shared" si="0"/>
        <ns0:v>-224.25</ns0:v>
      </ns0:c>
      <ns0:c r="H7" s="8">
        <ns0:f t="shared" si="0"/>
        <ns0:v>-224.25</ns0:v>
      </ns0:c>
      <ns0:c r="I7" s="8">
        <ns0:f t="shared" si="0"/>
        <ns0:v>-224.25</ns0:v>
      </ns0:c>
      <ns0:c r="J7" s="8">
        <ns0:f t="shared" si="0"/>
        <ns0:v>-224.25</ns0:v>
      </ns0:c>
      <ns0:c r="K7" s="8">
        <ns0:f t="shared" si="0"/>
        <ns0:v>-224.25</ns0:v>
      </ns0:c>
      <ns0:c r="L7" s="8">
        <ns0:f t="shared" si="0"/>
        <ns0:v>-224.25</ns0:v>
      </ns0:c>
      <ns0:c r="M7" s="8">
        <ns0:f t="shared" si="0"/>
        <ns0:v>-224.25</ns0:v>
      </ns0:c>
      <ns0:c r="N7" s="8">
        <ns0:f t="shared" si="0"/>
        <ns0:v>-224.25</ns0:v>
      </ns0:c>
      <ns0:c r="O7" s="8">
        <ns0:f t="shared" si="0"/>
        <ns0:v>-224.25</ns0:v>
      </ns0:c>
      <ns0:c r="P7" s="8">
        <ns0:f t="shared" si="0"/>
        <ns0:v>-224.25</ns0:v>
      </ns0:c>
      <ns0:c r="Q7" s="8">
        <ns0:f t="shared" si="0"/>
        <ns0:v>-224.25</ns0:v>
      </ns0:c>
      <ns0:c r="R7" s="8">
        <ns0:f t="shared" si="0"/>
        <ns0:v>-224.25</ns0:v>
      </ns0:c>
      <ns0:c r="S7" s="8">
        <ns0:f t="shared" si="0"/>
        <ns0:v>-224.25</ns0:v>
      </ns0:c>
      <ns0:c r="T7" s="8">
        <ns0:f t="shared" si="0"/>
        <ns0:v>-224.25</ns0:v>
      </ns0:c>
      <ns0:c r="U7" s="8">
        <ns0:f t="shared" si="0"/>
        <ns0:v>-224.25</ns0:v>
      </ns0:c>
      <ns0:c r="V7" s="8">
        <ns0:f t="shared" si="0"/>
        <ns0:v>-224.25</ns0:v>
      </ns0:c>
    </ns0:row>
    <ns0:row r="8" spans="1:23" ht="15.75" customHeight="1" ns3:dyDescent="0.25">
      <ns0:c r="A8" s="9" t="s">
        <ns0:v>48</ns0:v>
      </ns0:c>
      <ns0:c r="B8" s="10"/>
      <ns0:c r="C8" s="10"/>
      <ns0:c r="D8" s="10"/>
      <ns0:c r="E8" s="10"/>
      <ns0:c r="F8" s="10"/>
      <ns0:c r="G8" s="10"/>
      <ns0:c r="H8" s="10"/>
      <ns0:c r="I8" s="10"/>
      <ns0:c r="J8" s="10"/>
      <ns0:c r="K8" s="10"/>
      <ns0:c r="L8" s="10"/>
      <ns0:c r="M8" s="10"/>
      <ns0:c r="N8" s="10"/>
      <ns0:c r="O8" s="10"/>
      <ns0:c r="P8" s="10"/>
      <ns0:c r="Q8" s="10"/>
      <ns0:c r="R8" s="10"/>
      <ns0:c r="S8" s="10"/>
      <ns0:c r="T8" s="10"/>
      <ns0:c r="U8" s="10"/>
      <ns0:c r="V8" s="10"/>
      <ns0:c r="W8" s="10"/>
    </ns0:row>
    <ns0:row r="9" spans="1:23" ht="15.75" customHeight="1" ns3:dyDescent="0.25">
      <ns0:c r="A9" s="28" t="s">
        <ns0:v>130</ns0:v>
      </ns0:c>
      <ns0:c r="B9" s="29" t="s">
        <ns0:v>131</ns0:v>
      </ns0:c>
      <ns0:c r="C9" s="7"/>
      <ns0:c r="D9" s="7"/>
      <ns0:c r="E9" s="7"/>
      <ns0:c r="F9" s="7"/>
      <ns0:c r="G9" s="7"/>
      <ns0:c r="H9" s="7"/>
      <ns0:c r="I9" s="7"/>
      <ns0:c r="J9" s="7"/>
      <ns0:c r="K9" s="7"/>
      <ns0:c r="L9" s="7"/>
      <ns0:c r="M9" s="7"/>
      <ns0:c r="N9" s="7"/>
      <ns0:c r="O9" s="7"/>
      <ns0:c r="P9" s="7"/>
      <ns0:c r="Q9" s="7"/>
      <ns0:c r="R9" s="7"/>
      <ns0:c r="S9" s="7"/>
      <ns0:c r="T9" s="7"/>
      <ns0:c r="U9" s="7"/>
      <ns0:c r="V9" s="7"/>
      <ns0:c r="W9" s="8">
        <ns0:f t="shared" ref="W9:W23" si="1">SUM(C9:V9)</ns0:f>
        <ns0:v>0</ns0:v>
      </ns0:c>
    </ns0:row>
    <ns0:row r="10" spans="1:23" ht="15.75" customHeight="1" ns3:dyDescent="0.25">
      <ns0:c r="A10" t="s">
        <ns0:v>128</ns0:v>
      </ns0:c>
      <ns0:c r="B10" t="s">
        <ns0:v>129</ns0:v>
      </ns0:c>
      <ns0:c r="C10" s="7"/>
      <ns0:c r="D10" s="7">
        <ns0:v>9</ns0:v>
      </ns0:c>
      <ns0:c r="E10" s="7"/>
      <ns0:c r="F10" s="7"/>
      <ns0:c r="G10" s="7"/>
      <ns0:c r="H10" s="7"/>
      <ns0:c r="I10" s="7"/>
      <ns0:c r="J10" s="7"/>
      <ns0:c r="K10" s="7"/>
      <ns0:c r="L10" s="7"/>
      <ns0:c r="M10" s="7"/>
      <ns0:c r="N10" s="7"/>
      <ns0:c r="O10" s="7"/>
      <ns0:c r="P10" s="7"/>
      <ns0:c r="Q10" s="7"/>
      <ns0:c r="R10" s="7"/>
      <ns0:c r="S10" s="7"/>
      <ns0:c r="T10" s="7"/>
      <ns0:c r="U10" s="7"/>
      <ns0:c r="V10" s="7"/>
      <ns0:c r="W10" s="8">
        <ns0:f t="shared" si="1"/>
        <ns0:v>9</ns0:v>
      </ns0:c>
    </ns0:row>
    <ns0:row r="11" spans="1:23" ht="15.75" customHeight="1" ns3:dyDescent="0.25">
      <ns0:c r="A11" t="s">
        <ns0:v>132</ns0:v>
      </ns0:c>
      <ns0:c r="B11" t="s">
        <ns0:v>133</ns0:v>
      </ns0:c>
      <ns0:c r="C11" s="7"/>
      <ns0:c r="D11" s="7">
        <ns0:v>35</ns0:v>
      </ns0:c>
      <ns0:c r="E11" s="7">
        <ns0:v>5</ns0:v>
      </ns0:c>
      <ns0:c r="F11" s="7"/>
      <ns0:c r="G11" s="7"/>
      <ns0:c r="H11" s="7"/>
      <ns0:c r="I11" s="7"/>
      <ns0:c r="J11" s="7"/>
      <ns0:c r="K11" s="7"/>
      <ns0:c r="L11" s="7"/>
      <ns0:c r="M11" s="7"/>
      <ns0:c r="N11" s="7"/>
      <ns0:c r="O11" s="7"/>
      <ns0:c r="P11" s="7"/>
      <ns0:c r="Q11" s="7"/>
      <ns0:c r="R11" s="7"/>
      <ns0:c r="S11" s="7"/>
      <ns0:c r="T11" s="7"/>
      <ns0:c r="U11" s="7"/>
      <ns0:c r="V11" s="7"/>
      <ns0:c r="W11" s="8">
        <ns0:f t="shared" si="1"/>
        <ns0:v>40</ns0:v>
      </ns0:c>
    </ns0:row>
    <ns0:row r="12" spans="1:23" ht="15.75" customHeight="1" ns3:dyDescent="0.25">
      <ns0:c r="C12" s="7"/>
      <ns0:c r="D12" s="7"/>
      <ns0:c r="E12" s="7"/>
      <ns0:c r="F12" s="7"/>
      <ns0:c r="G12" s="7"/>
      <ns0:c r="H12" s="7"/>
      <ns0:c r="I12" s="7"/>
      <ns0:c r="J12" s="7"/>
      <ns0:c r="K12" s="7"/>
      <ns0:c r="L12" s="7"/>
      <ns0:c r="M12" s="7"/>
      <ns0:c r="N12" s="7"/>
      <ns0:c r="O12" s="7"/>
      <ns0:c r="P12" s="7"/>
      <ns0:c r="Q12" s="7"/>
      <ns0:c r="R12" s="7"/>
      <ns0:c r="S12" s="7"/>
      <ns0:c r="T12" s="7"/>
      <ns0:c r="U12" s="7"/>
      <ns0:c r="V12" s="7"/>
      <ns0:c r="W12" s="8">
        <ns0:f t="shared" si="1"/>
        <ns0:v>0</ns0:v>
      </ns0:c>
    </ns0:row>
    <ns0:row r="13" spans="1:23" ht="15.75" customHeight="1" ns3:dyDescent="0.25">
      <ns0:c r="C13" s="7"/>
      <ns0:c r="D13" s="7"/>
      <ns0:c r="E13" s="7"/>
      <ns0:c r="F13" s="7"/>
      <ns0:c r="G13" s="7"/>
      <ns0:c r="H13" s="7"/>
      <ns0:c r="I13" s="7"/>
      <ns0:c r="J13" s="7"/>
      <ns0:c r="K13" s="7"/>
      <ns0:c r="L13" s="7"/>
      <ns0:c r="M13" s="7"/>
      <ns0:c r="N13" s="7"/>
      <ns0:c r="O13" s="7"/>
      <ns0:c r="P13" s="7"/>
      <ns0:c r="Q13" s="7"/>
      <ns0:c r="R13" s="7"/>
      <ns0:c r="S13" s="7"/>
      <ns0:c r="T13" s="7"/>
      <ns0:c r="U13" s="7"/>
      <ns0:c r="V13" s="7"/>
      <ns0:c r="W13" s="8">
        <ns0:f t="shared" si="1"/>
        <ns0:v>0</ns0:v>
      </ns0:c>
    </ns0:row>
    <ns0:row r="14" spans="1:23" ht="15.75" customHeight="1" ns3:dyDescent="0.25">
      <ns0:c r="C14" s="7"/>
      <ns0:c r="D14" s="7"/>
      <ns0:c r="E14" s="7"/>
      <ns0:c r="F14" s="7"/>
      <ns0:c r="G14" s="7"/>
      <ns0:c r="H14" s="7"/>
      <ns0:c r="I14" s="7"/>
      <ns0:c r="J14" s="7"/>
      <ns0:c r="K14" s="7"/>
      <ns0:c r="L14" s="7"/>
      <ns0:c r="M14" s="7"/>
      <ns0:c r="N14" s="7"/>
      <ns0:c r="O14" s="7"/>
      <ns0:c r="P14" s="7"/>
      <ns0:c r="Q14" s="7"/>
      <ns0:c r="R14" s="7"/>
      <ns0:c r="S14" s="7"/>
      <ns0:c r="T14" s="7"/>
      <ns0:c r="U14" s="7"/>
      <ns0:c r="V14" s="7"/>
      <ns0:c r="W14" s="8">
        <ns0:f t="shared" si="1"/>
        <ns0:v>0</ns0:v>
      </ns0:c>
    </ns0:row>
    <ns0:row r="15" spans="1:23" ht="15.75" customHeight="1" ns3:dyDescent="0.25">
      <ns0:c r="C15" s="7"/>
      <ns0:c r="D15" s="7"/>
      <ns0:c r="E15" s="7"/>
      <ns0:c r="F15" s="7"/>
      <ns0:c r="G15" s="7"/>
      <ns0:c r="H15" s="7"/>
      <ns0:c r="I15" s="7"/>
      <ns0:c r="J15" s="7"/>
      <ns0:c r="K15" s="7"/>
      <ns0:c r="L15" s="7"/>
      <ns0:c r="M15" s="7"/>
      <ns0:c r="N15" s="7"/>
      <ns0:c r="O15" s="7"/>
      <ns0:c r="P15" s="7"/>
      <ns0:c r="Q15" s="7"/>
      <ns0:c r="R15" s="7"/>
      <ns0:c r="S15" s="7"/>
      <ns0:c r="T15" s="7"/>
      <ns0:c r="U15" s="7"/>
      <ns0:c r="V15" s="7"/>
      <ns0:c r="W15" s="8">
        <ns0:f t="shared" si="1"/>
        <ns0:v>0</ns0:v>
      </ns0:c>
    </ns0:row>
    <ns0:row r="16" spans="1:23" ht="15.75" customHeight="1" ns3:dyDescent="0.25">
      <ns0:c r="C16" s="7"/>
      <ns0:c r="D16" s="7"/>
      <ns0:c r="E16" s="7"/>
      <ns0:c r="F16" s="7"/>
      <ns0:c r="G16" s="7"/>
      <ns0:c r="H16" s="7"/>
      <ns0:c r="I16" s="7"/>
      <ns0:c r="J16" s="7"/>
      <ns0:c r="K16" s="7"/>
      <ns0:c r="L16" s="7"/>
      <ns0:c r="M16" s="7"/>
      <ns0:c r="N16" s="7"/>
      <ns0:c r="O16" s="7"/>
      <ns0:c r="P16" s="7"/>
      <ns0:c r="Q16" s="7"/>
      <ns0:c r="R16" s="7"/>
      <ns0:c r="S16" s="7"/>
      <ns0:c r="T16" s="7"/>
      <ns0:c r="U16" s="7"/>
      <ns0:c r="V16" s="7"/>
      <ns0:c r="W16" s="8">
        <ns0:f t="shared" si="1"/>
        <ns0:v>0</ns0:v>
      </ns0:c>
    </ns0:row>
    <ns0:row r="17" spans="1:23" ht="15.75" customHeight="1" ns3:dyDescent="0.25">
      <ns0:c r="C17" s="7"/>
      <ns0:c r="D17" s="7"/>
      <ns0:c r="E17" s="7"/>
      <ns0:c r="F17" s="7"/>
      <ns0:c r="G17" s="7"/>
      <ns0:c r="H17" s="7"/>
      <ns0:c r="I17" s="7"/>
      <ns0:c r="J17" s="7"/>
      <ns0:c r="K17" s="7"/>
      <ns0:c r="L17" s="7"/>
      <ns0:c r="M17" s="7"/>
      <ns0:c r="N17" s="7"/>
      <ns0:c r="O17" s="7"/>
      <ns0:c r="P17" s="7"/>
      <ns0:c r="Q17" s="7"/>
      <ns0:c r="R17" s="7"/>
      <ns0:c r="S17" s="7"/>
      <ns0:c r="T17" s="7"/>
      <ns0:c r="U17" s="7"/>
      <ns0:c r="V17" s="7"/>
      <ns0:c r="W17" s="8">
        <ns0:f t="shared" si="1"/>
        <ns0:v>0</ns0:v>
      </ns0:c>
    </ns0:row>
    <ns0:row r="18" spans="1:23" ht="15.75" customHeight="1" ns3:dyDescent="0.25">
      <ns0:c r="C18" s="7"/>
      <ns0:c r="D18" s="7"/>
      <ns0:c r="E18" s="7"/>
      <ns0:c r="F18" s="7"/>
      <ns0:c r="G18" s="7"/>
      <ns0:c r="H18" s="7"/>
      <ns0:c r="I18" s="7"/>
      <ns0:c r="J18" s="7"/>
      <ns0:c r="K18" s="7"/>
      <ns0:c r="L18" s="7"/>
      <ns0:c r="M18" s="7"/>
      <ns0:c r="N18" s="7"/>
      <ns0:c r="O18" s="7"/>
      <ns0:c r="P18" s="7"/>
      <ns0:c r="Q18" s="7"/>
      <ns0:c r="R18" s="7"/>
      <ns0:c r="S18" s="7"/>
      <ns0:c r="T18" s="7"/>
      <ns0:c r="U18" s="7"/>
      <ns0:c r="V18" s="7"/>
      <ns0:c r="W18" s="8">
        <ns0:f t="shared" si="1"/>
        <ns0:v>0</ns0:v>
      </ns0:c>
    </ns0:row>
    <ns0:row r="19" spans="1:23" ht="15.75" customHeight="1" ns3:dyDescent="0.25">
      <ns0:c r="C19" s="7"/>
      <ns0:c r="D19" s="7"/>
      <ns0:c r="E19" s="7"/>
      <ns0:c r="F19" s="7"/>
      <ns0:c r="G19" s="7"/>
      <ns0:c r="H19" s="7"/>
      <ns0:c r="I19" s="7"/>
      <ns0:c r="J19" s="7"/>
      <ns0:c r="K19" s="7"/>
      <ns0:c r="L19" s="7"/>
      <ns0:c r="M19" s="7"/>
      <ns0:c r="N19" s="7"/>
      <ns0:c r="O19" s="7"/>
      <ns0:c r="P19" s="7"/>
      <ns0:c r="Q19" s="7"/>
      <ns0:c r="R19" s="7"/>
      <ns0:c r="S19" s="7"/>
      <ns0:c r="T19" s="7"/>
      <ns0:c r="U19" s="7"/>
      <ns0:c r="V19" s="7"/>
      <ns0:c r="W19" s="8">
        <ns0:f t="shared" si="1"/>
        <ns0:v>0</ns0:v>
      </ns0:c>
    </ns0:row>
    <ns0:row r="20" spans="1:23" ht="15.75" customHeight="1" ns3:dyDescent="0.25">
      <ns0:c r="C20" s="7"/>
      <ns0:c r="D20" s="7"/>
      <ns0:c r="E20" s="7"/>
      <ns0:c r="F20" s="7"/>
      <ns0:c r="G20" s="7"/>
      <ns0:c r="H20" s="7"/>
      <ns0:c r="I20" s="7"/>
      <ns0:c r="J20" s="7"/>
      <ns0:c r="K20" s="7"/>
      <ns0:c r="L20" s="7"/>
      <ns0:c r="M20" s="7"/>
      <ns0:c r="N20" s="7"/>
      <ns0:c r="O20" s="7"/>
      <ns0:c r="P20" s="7"/>
      <ns0:c r="Q20" s="7"/>
      <ns0:c r="R20" s="7"/>
      <ns0:c r="S20" s="7"/>
      <ns0:c r="T20" s="7"/>
      <ns0:c r="U20" s="7"/>
      <ns0:c r="V20" s="7"/>
      <ns0:c r="W20" s="8">
        <ns0:f t="shared" si="1"/>
        <ns0:v>0</ns0:v>
      </ns0:c>
    </ns0:row>
    <ns0:row r="21" spans="1:23" ht="15.75" customHeight="1" ns3:dyDescent="0.25">
      <ns0:c r="C21" s="7"/>
      <ns0:c r="D21" s="7"/>
      <ns0:c r="E21" s="7"/>
      <ns0:c r="F21" s="7"/>
      <ns0:c r="G21" s="7"/>
      <ns0:c r="H21" s="7"/>
      <ns0:c r="I21" s="7"/>
      <ns0:c r="J21" s="7"/>
      <ns0:c r="K21" s="7"/>
      <ns0:c r="L21" s="7"/>
      <ns0:c r="M21" s="7"/>
      <ns0:c r="N21" s="7"/>
      <ns0:c r="O21" s="7"/>
      <ns0:c r="P21" s="7"/>
      <ns0:c r="Q21" s="7"/>
      <ns0:c r="R21" s="7"/>
      <ns0:c r="S21" s="7"/>
      <ns0:c r="T21" s="7"/>
      <ns0:c r="U21" s="7"/>
      <ns0:c r="V21" s="7"/>
      <ns0:c r="W21" s="8">
        <ns0:f t="shared" si="1"/>
        <ns0:v>0</ns0:v>
      </ns0:c>
    </ns0:row>
    <ns0:row r="22" spans="1:23" ht="15.75" customHeight="1" ns3:dyDescent="0.25">
      <ns0:c r="C22" s="7"/>
      <ns0:c r="D22" s="7"/>
      <ns0:c r="E22" s="7"/>
      <ns0:c r="F22" s="7"/>
      <ns0:c r="G22" s="7"/>
      <ns0:c r="H22" s="7"/>
      <ns0:c r="I22" s="7"/>
      <ns0:c r="J22" s="7"/>
      <ns0:c r="K22" s="7"/>
      <ns0:c r="L22" s="7"/>
      <ns0:c r="M22" s="7"/>
      <ns0:c r="N22" s="7"/>
      <ns0:c r="O22" s="7"/>
      <ns0:c r="P22" s="7"/>
      <ns0:c r="Q22" s="7"/>
      <ns0:c r="R22" s="7"/>
      <ns0:c r="S22" s="7"/>
      <ns0:c r="T22" s="7"/>
      <ns0:c r="U22" s="7"/>
      <ns0:c r="V22" s="7"/>
      <ns0:c r="W22" s="8">
        <ns0:f t="shared" si="1"/>
        <ns0:v>0</ns0:v>
      </ns0:c>
    </ns0:row>
    <ns0:row r="23" spans="1:23" ht="15.75" customHeight="1" ns3:dyDescent="0.25">
      <ns0:c r="C23" s="7"/>
      <ns0:c r="D23" s="7"/>
      <ns0:c r="E23" s="7"/>
      <ns0:c r="F23" s="7"/>
      <ns0:c r="G23" s="7"/>
      <ns0:c r="H23" s="7"/>
      <ns0:c r="I23" s="7"/>
      <ns0:c r="J23" s="7"/>
      <ns0:c r="K23" s="7"/>
      <ns0:c r="L23" s="7"/>
      <ns0:c r="M23" s="7"/>
      <ns0:c r="N23" s="7"/>
      <ns0:c r="O23" s="7"/>
      <ns0:c r="P23" s="7"/>
      <ns0:c r="Q23" s="7"/>
      <ns0:c r="R23" s="7"/>
      <ns0:c r="S23" s="7"/>
      <ns0:c r="T23" s="7"/>
      <ns0:c r="U23" s="7"/>
      <ns0:c r="V23" s="7"/>
      <ns0:c r="W23" s="8">
        <ns0:f t="shared" si="1"/>
        <ns0:v>0</ns0:v>
      </ns0:c>
    </ns0:row>
    <ns0:row r="24" spans="1:23" ht="15.75" customHeight="1" ns3:dyDescent="0.25">
      <ns0:c r="A24" s="12" t="s">
        <ns0:v>49</ns0:v>
      </ns0:c>
      <ns0:c r="B24" s="13"/>
      <ns0:c r="C24" s="14">
        <ns0:f t="shared" ref="C24:W24" si="2">SUM(C9:C23)</ns0:f>
        <ns0:v>0</ns0:v>
      </ns0:c>
      <ns0:c r="D24" s="14">
        <ns0:f t="shared" si="2"/>
        <ns0:v>44</ns0:v>
      </ns0:c>
      <ns0:c r="E24" s="14">
        <ns0:f t="shared" si="2"/>
        <ns0:v>5</ns0:v>
      </ns0:c>
      <ns0:c r="F24" s="14">
        <ns0:f t="shared" si="2"/>
        <ns0:v>0</ns0:v>
      </ns0:c>
      <ns0:c r="G24" s="14">
        <ns0:f t="shared" si="2"/>
        <ns0:v>0</ns0:v>
      </ns0:c>
      <ns0:c r="H24" s="14">
        <ns0:f t="shared" si="2"/>
        <ns0:v>0</ns0:v>
      </ns0:c>
      <ns0:c r="I24" s="14">
        <ns0:f t="shared" si="2"/>
        <ns0:v>0</ns0:v>
      </ns0:c>
      <ns0:c r="J24" s="14">
        <ns0:f t="shared" si="2"/>
        <ns0:v>0</ns0:v>
      </ns0:c>
      <ns0:c r="K24" s="14">
        <ns0:f t="shared" si="2"/>
        <ns0:v>0</ns0:v>
      </ns0:c>
      <ns0:c r="L24" s="14">
        <ns0:f t="shared" si="2"/>
        <ns0:v>0</ns0:v>
      </ns0:c>
      <ns0:c r="M24" s="14">
        <ns0:f t="shared" si="2"/>
        <ns0:v>0</ns0:v>
      </ns0:c>
      <ns0:c r="N24" s="14">
        <ns0:f t="shared" si="2"/>
        <ns0:v>0</ns0:v>
      </ns0:c>
      <ns0:c r="O24" s="14">
        <ns0:f t="shared" si="2"/>
        <ns0:v>0</ns0:v>
      </ns0:c>
      <ns0:c r="P24" s="14">
        <ns0:f t="shared" si="2"/>
        <ns0:v>0</ns0:v>
      </ns0:c>
      <ns0:c r="Q24" s="14">
        <ns0:f t="shared" si="2"/>
        <ns0:v>0</ns0:v>
      </ns0:c>
      <ns0:c r="R24" s="14">
        <ns0:f t="shared" si="2"/>
        <ns0:v>0</ns0:v>
      </ns0:c>
      <ns0:c r="S24" s="14">
        <ns0:f t="shared" si="2"/>
        <ns0:v>0</ns0:v>
      </ns0:c>
      <ns0:c r="T24" s="14">
        <ns0:f t="shared" si="2"/>
        <ns0:v>0</ns0:v>
      </ns0:c>
      <ns0:c r="U24" s="14">
        <ns0:f t="shared" si="2"/>
        <ns0:v>0</ns0:v>
      </ns0:c>
      <ns0:c r="V24" s="14">
        <ns0:f t="shared" si="2"/>
        <ns0:v>0</ns0:v>
      </ns0:c>
      <ns0:c r="W24" s="14">
        <ns0:f t="shared" si="2"/>
        <ns0:v>49</ns0:v>
      </ns0:c>
    </ns0:row>
    <ns0:row r="25" spans="1:23" ht="15.75" customHeight="1" ns3:dyDescent="0.25"/>
    <ns0:row r="26" spans="1:23" ht="15.75" customHeight="1" ns3:dyDescent="0.25">
      <ns0:c r="A26" s="15" t="s">
        <ns0:v>50</ns0:v>
      </ns0:c>
      <ns0:c r="B26" s="16"/>
      <ns0:c r="C26" s="16"/>
      <ns0:c r="D26" s="16"/>
      <ns0:c r="E26" s="16"/>
      <ns0:c r="F26" s="16"/>
      <ns0:c r="G26" s="16"/>
      <ns0:c r="H26" s="16"/>
      <ns0:c r="I26" s="16"/>
      <ns0:c r="J26" s="16"/>
      <ns0:c r="K26" s="16"/>
      <ns0:c r="L26" s="16"/>
      <ns0:c r="M26" s="16"/>
      <ns0:c r="N26" s="16"/>
      <ns0:c r="O26" s="16"/>
      <ns0:c r="P26" s="16"/>
      <ns0:c r="Q26" s="16"/>
      <ns0:c r="R26" s="16"/>
      <ns0:c r="S26" s="16"/>
      <ns0:c r="T26" s="16"/>
      <ns0:c r="U26" s="16"/>
      <ns0:c r="V26" s="16"/>
      <ns0:c r="W26" s="16"/>
    </ns0:row>
    <ns0:row r="27" spans="1:23" ht="15.75" customHeight="1" ns3:dyDescent="0.25">
      <ns0:c r="A27" s="30" t="s">
        <ns0:v>135</ns0:v>
      </ns0:c>
      <ns0:c r="B27" s="11" t="s">
        <ns0:v>136</ns0:v>
      </ns0:c>
      <ns0:c r="C27" s="7">
        <ns0:v>305.5</ns0:v>
      </ns0:c>
      <ns0:c r="D27" s="7"/>
      <ns0:c r="E27" s="7"/>
      <ns0:c r="F27" s="7"/>
      <ns0:c r="G27" s="7"/>
      <ns0:c r="H27" s="7"/>
      <ns0:c r="I27" s="7"/>
      <ns0:c r="J27" s="7"/>
      <ns0:c r="K27" s="7"/>
      <ns0:c r="L27" s="7"/>
      <ns0:c r="M27" s="7"/>
      <ns0:c r="N27" s="7"/>
      <ns0:c r="O27" s="7"/>
      <ns0:c r="P27" s="7"/>
      <ns0:c r="Q27" s="7"/>
      <ns0:c r="R27" s="7"/>
      <ns0:c r="S27" s="7"/>
      <ns0:c r="T27" s="7"/>
      <ns0:c r="U27" s="7"/>
      <ns0:c r="V27" s="7"/>
      <ns0:c r="W27" s="8">
        <ns0:f t="shared" ref="W27:W41" si="3">SUM(C27:V27)</ns0:f>
        <ns0:v>305.5</ns0:v>
      </ns0:c>
    </ns0:row>
    <ns0:row r="28" spans="1:23" ht="15.75" customHeight="1" ns3:dyDescent="0.25">
      <ns0:c r="A28" t="s">
        <ns0:v>128</ns0:v>
      </ns0:c>
      <ns0:c r="B28" t="s">
        <ns0:v>134</ns0:v>
      </ns0:c>
      <ns0:c r="C28" s="7"/>
      <ns0:c r="D28" s="7">
        <ns0:v>22</ns0:v>
      </ns0:c>
      <ns0:c r="E28" s="7"/>
      <ns0:c r="F28" s="7"/>
      <ns0:c r="G28" s="7"/>
      <ns0:c r="H28" s="7"/>
      <ns0:c r="I28" s="7"/>
      <ns0:c r="J28" s="7"/>
      <ns0:c r="K28" s="7"/>
      <ns0:c r="L28" s="7"/>
      <ns0:c r="M28" s="7"/>
      <ns0:c r="N28" s="7"/>
      <ns0:c r="O28" s="7"/>
      <ns0:c r="P28" s="7"/>
      <ns0:c r="Q28" s="7"/>
      <ns0:c r="R28" s="7"/>
      <ns0:c r="S28" s="7"/>
      <ns0:c r="T28" s="7"/>
      <ns0:c r="U28" s="7"/>
      <ns0:c r="V28" s="7"/>
      <ns0:c r="W28" s="8">
        <ns0:f t="shared" si="3"/>
        <ns0:v>22</ns0:v>
      </ns0:c>
    </ns0:row>
    <ns0:row r="29" spans="1:23" ht="15.75" customHeight="1" ns3:dyDescent="0.25">
      <ns0:c r="A29" t="inlineStr">
        <ns0:is>
          <ns0:t>DEUDA UP</ns0:t>
        </ns0:is>
      </ns0:c>
      <ns0:c r="B29" t="inlineStr">
        <ns0:is>
          <ns0:t>Catering UP — 180 Talks 2026-1</ns0:t>
        </ns0:is>
      </ns0:c>
      <ns0:c r="C29" s="7" t="n">
        <ns0:v>38.62</ns0:v>
      </ns0:c>
      <ns0:c r="D29" s="7"/>
      <ns0:c r="E29" s="7"/>
      <ns0:c r="F29" s="7"/>
      <ns0:c r="G29" s="7"/>
      <ns0:c r="H29" s="7"/>
      <ns0:c r="I29" s="7"/>
      <ns0:c r="J29" s="7"/>
      <ns0:c r="K29" s="7"/>
      <ns0:c r="L29" s="7"/>
      <ns0:c r="M29" s="7"/>
      <ns0:c r="N29" s="7"/>
      <ns0:c r="O29" s="7"/>
      <ns0:c r="P29" s="7"/>
      <ns0:c r="Q29" s="7"/>
      <ns0:c r="R29" s="7"/>
      <ns0:c r="S29" s="7"/>
      <ns0:c r="T29" s="7"/>
      <ns0:c r="U29" s="7"/>
      <ns0:c r="V29" s="7"/>
      <ns0:c r="W29" s="8">
        <ns0:f t="shared" si="3"/>
        <ns0:v>38.62</ns0:v>
      </ns0:c>
    </ns0:row>
    <ns0:row r="30" spans="1:23" ht="15.75" customHeight="1" ns3:dyDescent="0.25">
      <ns0:c r="C30" s="7"/>
      <ns0:c r="D30" s="7"/>
      <ns0:c r="E30" s="7"/>
      <ns0:c r="F30" s="7"/>
      <ns0:c r="G30" s="7"/>
      <ns0:c r="H30" s="7"/>
      <ns0:c r="I30" s="7"/>
      <ns0:c r="J30" s="7"/>
      <ns0:c r="K30" s="7"/>
      <ns0:c r="L30" s="7"/>
      <ns0:c r="M30" s="7"/>
      <ns0:c r="N30" s="7"/>
      <ns0:c r="O30" s="7"/>
      <ns0:c r="P30" s="7"/>
      <ns0:c r="Q30" s="7"/>
      <ns0:c r="R30" s="7"/>
      <ns0:c r="S30" s="7"/>
      <ns0:c r="T30" s="7"/>
      <ns0:c r="U30" s="7"/>
      <ns0:c r="V30" s="7"/>
      <ns0:c r="W30" s="8">
        <ns0:f t="shared" si="3"/>
        <ns0:v>0</ns0:v>
      </ns0:c>
    </ns0:row>
    <ns0:row r="31" spans="1:23" ht="15.75" customHeight="1" ns3:dyDescent="0.25">
      <ns0:c r="C31" s="7"/>
      <ns0:c r="D31" s="7"/>
      <ns0:c r="E31" s="7"/>
      <ns0:c r="F31" s="7"/>
      <ns0:c r="G31" s="7"/>
      <ns0:c r="H31" s="7"/>
      <ns0:c r="I31" s="7"/>
      <ns0:c r="J31" s="7"/>
      <ns0:c r="K31" s="7"/>
      <ns0:c r="L31" s="7"/>
      <ns0:c r="M31" s="7"/>
      <ns0:c r="N31" s="7"/>
      <ns0:c r="O31" s="7"/>
      <ns0:c r="P31" s="7"/>
      <ns0:c r="Q31" s="7"/>
      <ns0:c r="R31" s="7"/>
      <ns0:c r="S31" s="7"/>
      <ns0:c r="T31" s="7"/>
      <ns0:c r="U31" s="7"/>
      <ns0:c r="V31" s="7"/>
      <ns0:c r="W31" s="8">
        <ns0:f t="shared" si="3"/>
        <ns0:v>0</ns0:v>
      </ns0:c>
    </ns0:row>
    <ns0:row r="32" spans="1:23" ht="15.75" customHeight="1" ns3:dyDescent="0.25">
      <ns0:c r="C32" s="7"/>
      <ns0:c r="D32" s="7"/>
      <ns0:c r="E32" s="7"/>
      <ns0:c r="F32" s="7"/>
      <ns0:c r="G32" s="7"/>
      <ns0:c r="H32" s="7"/>
      <ns0:c r="I32" s="7"/>
      <ns0:c r="J32" s="7"/>
      <ns0:c r="K32" s="7"/>
      <ns0:c r="L32" s="7"/>
      <ns0:c r="M32" s="7"/>
      <ns0:c r="N32" s="7"/>
      <ns0:c r="O32" s="7"/>
      <ns0:c r="P32" s="7"/>
      <ns0:c r="Q32" s="7"/>
      <ns0:c r="R32" s="7"/>
      <ns0:c r="S32" s="7"/>
      <ns0:c r="T32" s="7"/>
      <ns0:c r="U32" s="7"/>
      <ns0:c r="V32" s="7"/>
      <ns0:c r="W32" s="8">
        <ns0:f t="shared" si="3"/>
        <ns0:v>0</ns0:v>
      </ns0:c>
    </ns0:row>
    <ns0:row r="33" spans="1:23" ht="15.75" customHeight="1" ns3:dyDescent="0.25">
      <ns0:c r="C33" s="7"/>
      <ns0:c r="D33" s="7"/>
      <ns0:c r="E33" s="7"/>
      <ns0:c r="F33" s="7"/>
      <ns0:c r="G33" s="7"/>
      <ns0:c r="H33" s="7"/>
      <ns0:c r="I33" s="7"/>
      <ns0:c r="J33" s="7"/>
      <ns0:c r="K33" s="7"/>
      <ns0:c r="L33" s="7"/>
      <ns0:c r="M33" s="7"/>
      <ns0:c r="N33" s="7"/>
      <ns0:c r="O33" s="7"/>
      <ns0:c r="P33" s="7"/>
      <ns0:c r="Q33" s="7"/>
      <ns0:c r="R33" s="7"/>
      <ns0:c r="S33" s="7"/>
      <ns0:c r="T33" s="7"/>
      <ns0:c r="U33" s="7"/>
      <ns0:c r="V33" s="7"/>
      <ns0:c r="W33" s="8">
        <ns0:f t="shared" si="3"/>
        <ns0:v>0</ns0:v>
      </ns0:c>
    </ns0:row>
    <ns0:row r="34" spans="1:23" ht="15.75" customHeight="1" ns3:dyDescent="0.25">
      <ns0:c r="C34" s="7"/>
      <ns0:c r="D34" s="7"/>
      <ns0:c r="E34" s="7"/>
      <ns0:c r="F34" s="7"/>
      <ns0:c r="G34" s="7"/>
      <ns0:c r="H34" s="7"/>
      <ns0:c r="I34" s="7"/>
      <ns0:c r="J34" s="7"/>
      <ns0:c r="K34" s="7"/>
      <ns0:c r="L34" s="7"/>
      <ns0:c r="M34" s="7"/>
      <ns0:c r="N34" s="7"/>
      <ns0:c r="O34" s="7"/>
      <ns0:c r="P34" s="7"/>
      <ns0:c r="Q34" s="7"/>
      <ns0:c r="R34" s="7"/>
      <ns0:c r="S34" s="7"/>
      <ns0:c r="T34" s="7"/>
      <ns0:c r="U34" s="7"/>
      <ns0:c r="V34" s="7"/>
      <ns0:c r="W34" s="8">
        <ns0:f t="shared" si="3"/>
        <ns0:v>0</ns0:v>
      </ns0:c>
    </ns0:row>
    <ns0:row r="35" spans="1:23" ht="15.75" customHeight="1" ns3:dyDescent="0.25">
      <ns0:c r="C35" s="7"/>
      <ns0:c r="D35" s="7"/>
      <ns0:c r="E35" s="7"/>
      <ns0:c r="F35" s="7"/>
      <ns0:c r="G35" s="7"/>
      <ns0:c r="H35" s="7"/>
      <ns0:c r="I35" s="7"/>
      <ns0:c r="J35" s="7"/>
      <ns0:c r="K35" s="7"/>
      <ns0:c r="L35" s="7"/>
      <ns0:c r="M35" s="7"/>
      <ns0:c r="N35" s="7"/>
      <ns0:c r="O35" s="7"/>
      <ns0:c r="P35" s="7"/>
      <ns0:c r="Q35" s="7"/>
      <ns0:c r="R35" s="7"/>
      <ns0:c r="S35" s="7"/>
      <ns0:c r="T35" s="7"/>
      <ns0:c r="U35" s="7"/>
      <ns0:c r="V35" s="7"/>
      <ns0:c r="W35" s="8">
        <ns0:f t="shared" si="3"/>
        <ns0:v>0</ns0:v>
      </ns0:c>
    </ns0:row>
    <ns0:row r="36" spans="1:23" ht="15.75" customHeight="1" ns3:dyDescent="0.25">
      <ns0:c r="C36" s="7"/>
      <ns0:c r="D36" s="7"/>
      <ns0:c r="E36" s="7"/>
      <ns0:c r="F36" s="7"/>
      <ns0:c r="G36" s="7"/>
      <ns0:c r="H36" s="7"/>
      <ns0:c r="I36" s="7"/>
      <ns0:c r="J36" s="7"/>
      <ns0:c r="K36" s="7"/>
      <ns0:c r="L36" s="7"/>
      <ns0:c r="M36" s="7"/>
      <ns0:c r="N36" s="7"/>
      <ns0:c r="O36" s="7"/>
      <ns0:c r="P36" s="7"/>
      <ns0:c r="Q36" s="7"/>
      <ns0:c r="R36" s="7"/>
      <ns0:c r="S36" s="7"/>
      <ns0:c r="T36" s="7"/>
      <ns0:c r="U36" s="7"/>
      <ns0:c r="V36" s="7"/>
      <ns0:c r="W36" s="8">
        <ns0:f t="shared" si="3"/>
        <ns0:v>0</ns0:v>
      </ns0:c>
    </ns0:row>
    <ns0:row r="37" spans="1:23" ht="15.75" customHeight="1" ns3:dyDescent="0.25">
      <ns0:c r="C37" s="7"/>
      <ns0:c r="D37" s="7"/>
      <ns0:c r="E37" s="7"/>
      <ns0:c r="F37" s="7"/>
      <ns0:c r="G37" s="7"/>
      <ns0:c r="H37" s="7"/>
      <ns0:c r="I37" s="7"/>
      <ns0:c r="J37" s="7"/>
      <ns0:c r="K37" s="7"/>
      <ns0:c r="L37" s="7"/>
      <ns0:c r="M37" s="7"/>
      <ns0:c r="N37" s="7"/>
      <ns0:c r="O37" s="7"/>
      <ns0:c r="P37" s="7"/>
      <ns0:c r="Q37" s="7"/>
      <ns0:c r="R37" s="7"/>
      <ns0:c r="S37" s="7"/>
      <ns0:c r="T37" s="7"/>
      <ns0:c r="U37" s="7"/>
      <ns0:c r="V37" s="7"/>
      <ns0:c r="W37" s="8">
        <ns0:f t="shared" si="3"/>
        <ns0:v>0</ns0:v>
      </ns0:c>
    </ns0:row>
    <ns0:row r="38" spans="1:23" ht="15.75" customHeight="1" ns3:dyDescent="0.25">
      <ns0:c r="C38" s="7"/>
      <ns0:c r="D38" s="7"/>
      <ns0:c r="E38" s="7"/>
      <ns0:c r="F38" s="7"/>
      <ns0:c r="G38" s="7"/>
      <ns0:c r="H38" s="7"/>
      <ns0:c r="I38" s="7"/>
      <ns0:c r="J38" s="7"/>
      <ns0:c r="K38" s="7"/>
      <ns0:c r="L38" s="7"/>
      <ns0:c r="M38" s="7"/>
      <ns0:c r="N38" s="7"/>
      <ns0:c r="O38" s="7"/>
      <ns0:c r="P38" s="7"/>
      <ns0:c r="Q38" s="7"/>
      <ns0:c r="R38" s="7"/>
      <ns0:c r="S38" s="7"/>
      <ns0:c r="T38" s="7"/>
      <ns0:c r="U38" s="7"/>
      <ns0:c r="V38" s="7"/>
      <ns0:c r="W38" s="8">
        <ns0:f t="shared" si="3"/>
        <ns0:v>0</ns0:v>
      </ns0:c>
    </ns0:row>
    <ns0:row r="39" spans="1:23" ht="15.75" customHeight="1" ns3:dyDescent="0.25">
      <ns0:c r="C39" s="7"/>
      <ns0:c r="D39" s="7"/>
      <ns0:c r="E39" s="7"/>
      <ns0:c r="F39" s="7"/>
      <ns0:c r="G39" s="7"/>
      <ns0:c r="H39" s="7"/>
      <ns0:c r="I39" s="7"/>
      <ns0:c r="J39" s="7"/>
      <ns0:c r="K39" s="7"/>
      <ns0:c r="L39" s="7"/>
      <ns0:c r="M39" s="7"/>
      <ns0:c r="N39" s="7"/>
      <ns0:c r="O39" s="7"/>
      <ns0:c r="P39" s="7"/>
      <ns0:c r="Q39" s="7"/>
      <ns0:c r="R39" s="7"/>
      <ns0:c r="S39" s="7"/>
      <ns0:c r="T39" s="7"/>
      <ns0:c r="U39" s="7"/>
      <ns0:c r="V39" s="7"/>
      <ns0:c r="W39" s="8">
        <ns0:f t="shared" si="3"/>
        <ns0:v>0</ns0:v>
      </ns0:c>
    </ns0:row>
    <ns0:row r="40" spans="1:23" ht="15.75" customHeight="1" ns3:dyDescent="0.25">
      <ns0:c r="C40" s="7"/>
      <ns0:c r="D40" s="7"/>
      <ns0:c r="E40" s="7"/>
      <ns0:c r="F40" s="7"/>
      <ns0:c r="G40" s="7"/>
      <ns0:c r="H40" s="7"/>
      <ns0:c r="I40" s="7"/>
      <ns0:c r="J40" s="7"/>
      <ns0:c r="K40" s="7"/>
      <ns0:c r="L40" s="7"/>
      <ns0:c r="M40" s="7"/>
      <ns0:c r="N40" s="7"/>
      <ns0:c r="O40" s="7"/>
      <ns0:c r="P40" s="7"/>
      <ns0:c r="Q40" s="7"/>
      <ns0:c r="R40" s="7"/>
      <ns0:c r="S40" s="7"/>
      <ns0:c r="T40" s="7"/>
      <ns0:c r="U40" s="7"/>
      <ns0:c r="V40" s="7"/>
      <ns0:c r="W40" s="8">
        <ns0:f t="shared" si="3"/>
        <ns0:v>0</ns0:v>
      </ns0:c>
    </ns0:row>
    <ns0:row r="41" spans="1:23" ht="15.75" customHeight="1" ns3:dyDescent="0.25">
      <ns0:c r="C41" s="7"/>
      <ns0:c r="D41" s="7"/>
      <ns0:c r="E41" s="7"/>
      <ns0:c r="F41" s="7"/>
      <ns0:c r="G41" s="7"/>
      <ns0:c r="H41" s="7"/>
      <ns0:c r="I41" s="7"/>
      <ns0:c r="J41" s="7"/>
      <ns0:c r="K41" s="7"/>
      <ns0:c r="L41" s="7"/>
      <ns0:c r="M41" s="7"/>
      <ns0:c r="N41" s="7"/>
      <ns0:c r="O41" s="7"/>
      <ns0:c r="P41" s="7"/>
      <ns0:c r="Q41" s="7"/>
      <ns0:c r="R41" s="7"/>
      <ns0:c r="S41" s="7"/>
      <ns0:c r="T41" s="7"/>
      <ns0:c r="U41" s="7"/>
      <ns0:c r="V41" s="7"/>
      <ns0:c r="W41" s="8">
        <ns0:f t="shared" si="3"/>
        <ns0:v>0</ns0:v>
      </ns0:c>
    </ns0:row>
    <ns0:row r="42" spans="1:23" ht="15.75" customHeight="1" ns3:dyDescent="0.25">
      <ns0:c r="A42" s="12" t="s">
        <ns0:v>51</ns0:v>
      </ns0:c>
      <ns0:c r="B42" s="13"/>
      <ns0:c r="C42" s="14">
        <ns0:f t="shared" ref="C42:W42" si="4">SUM(C27:C41)</ns0:f>
        <ns0:v>344.12</ns0:v>
      </ns0:c>
      <ns0:c r="D42" s="14">
        <ns0:f t="shared" si="4"/>
        <ns0:v>22</ns0:v>
      </ns0:c>
      <ns0:c r="E42" s="14">
        <ns0:f t="shared" si="4"/>
        <ns0:v>0</ns0:v>
      </ns0:c>
      <ns0:c r="F42" s="14">
        <ns0:f t="shared" si="4"/>
        <ns0:v>0</ns0:v>
      </ns0:c>
      <ns0:c r="G42" s="14">
        <ns0:f t="shared" si="4"/>
        <ns0:v>0</ns0:v>
      </ns0:c>
      <ns0:c r="H42" s="14">
        <ns0:f t="shared" si="4"/>
        <ns0:v>0</ns0:v>
      </ns0:c>
      <ns0:c r="I42" s="14">
        <ns0:f t="shared" si="4"/>
        <ns0:v>0</ns0:v>
      </ns0:c>
      <ns0:c r="J42" s="14">
        <ns0:f t="shared" si="4"/>
        <ns0:v>0</ns0:v>
      </ns0:c>
      <ns0:c r="K42" s="14">
        <ns0:f t="shared" si="4"/>
        <ns0:v>0</ns0:v>
      </ns0:c>
      <ns0:c r="L42" s="14">
        <ns0:f t="shared" si="4"/>
        <ns0:v>0</ns0:v>
      </ns0:c>
      <ns0:c r="M42" s="14">
        <ns0:f t="shared" si="4"/>
        <ns0:v>0</ns0:v>
      </ns0:c>
      <ns0:c r="N42" s="14">
        <ns0:f t="shared" si="4"/>
        <ns0:v>0</ns0:v>
      </ns0:c>
      <ns0:c r="O42" s="14">
        <ns0:f t="shared" si="4"/>
        <ns0:v>0</ns0:v>
      </ns0:c>
      <ns0:c r="P42" s="14">
        <ns0:f t="shared" si="4"/>
        <ns0:v>0</ns0:v>
      </ns0:c>
      <ns0:c r="Q42" s="14">
        <ns0:f t="shared" si="4"/>
        <ns0:v>0</ns0:v>
      </ns0:c>
      <ns0:c r="R42" s="14">
        <ns0:f t="shared" si="4"/>
        <ns0:v>0</ns0:v>
      </ns0:c>
      <ns0:c r="S42" s="14">
        <ns0:f t="shared" si="4"/>
        <ns0:v>0</ns0:v>
      </ns0:c>
      <ns0:c r="T42" s="14">
        <ns0:f t="shared" si="4"/>
        <ns0:v>0</ns0:v>
      </ns0:c>
      <ns0:c r="U42" s="14">
        <ns0:f t="shared" si="4"/>
        <ns0:v>0</ns0:v>
      </ns0:c>
      <ns0:c r="V42" s="14">
        <ns0:f t="shared" si="4"/>
        <ns0:v>0</ns0:v>
      </ns0:c>
      <ns0:c r="W42" s="14">
        <ns0:f t="shared" si="4"/>
        <ns0:v>366.12</ns0:v>
      </ns0:c>
    </ns0:row>
    <ns0:row r="43" spans="1:23" ht="15.75" customHeight="1" ns3:dyDescent="0.25"/>
    <ns0:row r="44" spans="1:23" ht="15.75" customHeight="1" ns3:dyDescent="0.25">
      <ns0:c r="A44" s="12" t="s">
        <ns0:v>52</ns0:v>
      </ns0:c>
      <ns0:c r="B44" s="13"/>
      <ns0:c r="C44" s="17">
        <ns0:f t="shared" ref="C44:W44" si="5">C24-C42</ns0:f>
        <ns0:v>-344.12</ns0:v>
      </ns0:c>
      <ns0:c r="D44" s="17">
        <ns0:f t="shared" si="5"/>
        <ns0:v>22</ns0:v>
      </ns0:c>
      <ns0:c r="E44" s="17">
        <ns0:f t="shared" si="5"/>
        <ns0:v>5</ns0:v>
      </ns0:c>
      <ns0:c r="F44" s="17">
        <ns0:f t="shared" si="5"/>
        <ns0:v>0</ns0:v>
      </ns0:c>
      <ns0:c r="G44" s="17">
        <ns0:f t="shared" si="5"/>
        <ns0:v>0</ns0:v>
      </ns0:c>
      <ns0:c r="H44" s="17">
        <ns0:f t="shared" si="5"/>
        <ns0:v>0</ns0:v>
      </ns0:c>
      <ns0:c r="I44" s="17">
        <ns0:f t="shared" si="5"/>
        <ns0:v>0</ns0:v>
      </ns0:c>
      <ns0:c r="J44" s="17">
        <ns0:f t="shared" si="5"/>
        <ns0:v>0</ns0:v>
      </ns0:c>
      <ns0:c r="K44" s="17">
        <ns0:f t="shared" si="5"/>
        <ns0:v>0</ns0:v>
      </ns0:c>
      <ns0:c r="L44" s="17">
        <ns0:f t="shared" si="5"/>
        <ns0:v>0</ns0:v>
      </ns0:c>
      <ns0:c r="M44" s="17">
        <ns0:f t="shared" si="5"/>
        <ns0:v>0</ns0:v>
      </ns0:c>
      <ns0:c r="N44" s="17">
        <ns0:f t="shared" si="5"/>
        <ns0:v>0</ns0:v>
      </ns0:c>
      <ns0:c r="O44" s="17">
        <ns0:f t="shared" si="5"/>
        <ns0:v>0</ns0:v>
      </ns0:c>
      <ns0:c r="P44" s="17">
        <ns0:f t="shared" si="5"/>
        <ns0:v>0</ns0:v>
      </ns0:c>
      <ns0:c r="Q44" s="17">
        <ns0:f t="shared" si="5"/>
        <ns0:v>0</ns0:v>
      </ns0:c>
      <ns0:c r="R44" s="17">
        <ns0:f t="shared" si="5"/>
        <ns0:v>0</ns0:v>
      </ns0:c>
      <ns0:c r="S44" s="17">
        <ns0:f t="shared" si="5"/>
        <ns0:v>0</ns0:v>
      </ns0:c>
      <ns0:c r="T44" s="17">
        <ns0:f t="shared" si="5"/>
        <ns0:v>0</ns0:v>
      </ns0:c>
      <ns0:c r="U44" s="17">
        <ns0:f t="shared" si="5"/>
        <ns0:v>0</ns0:v>
      </ns0:c>
      <ns0:c r="V44" s="17">
        <ns0:f t="shared" si="5"/>
        <ns0:v>0</ns0:v>
      </ns0:c>
      <ns0:c r="W44" s="17">
        <ns0:f t="shared" si="5"/>
        <ns0:v>-317.12</ns0:v>
      </ns0:c>
    </ns0:row>
    <ns0:row r="45" spans="1:23" ht="15.75" customHeight="1" ns3:dyDescent="0.25">
      <ns0:c r="A45" s="18" t="s">
        <ns0:v>53</ns0:v>
      </ns0:c>
      <ns0:c r="B45" s="19"/>
      <ns0:c r="C45" s="20">
        <ns0:f t="shared" ref="C45:V45" si="6">C7+C44</ns0:f>
        <ns0:v>-251.25</ns0:v>
      </ns0:c>
      <ns0:c r="D45" s="20">
        <ns0:f t="shared" si="6"/>
        <ns0:v>-229.25</ns0:v>
      </ns0:c>
      <ns0:c r="E45" s="20">
        <ns0:f t="shared" si="6"/>
        <ns0:v>-224.25</ns0:v>
      </ns0:c>
      <ns0:c r="F45" s="20">
        <ns0:f t="shared" si="6"/>
        <ns0:v>-224.25</ns0:v>
      </ns0:c>
      <ns0:c r="G45" s="20">
        <ns0:f t="shared" si="6"/>
        <ns0:v>-224.25</ns0:v>
      </ns0:c>
      <ns0:c r="H45" s="20">
        <ns0:f t="shared" si="6"/>
        <ns0:v>-224.25</ns0:v>
      </ns0:c>
      <ns0:c r="I45" s="20">
        <ns0:f t="shared" si="6"/>
        <ns0:v>-224.25</ns0:v>
      </ns0:c>
      <ns0:c r="J45" s="20">
        <ns0:f t="shared" si="6"/>
        <ns0:v>-224.25</ns0:v>
      </ns0:c>
      <ns0:c r="K45" s="20">
        <ns0:f t="shared" si="6"/>
        <ns0:v>-224.25</ns0:v>
      </ns0:c>
      <ns0:c r="L45" s="20">
        <ns0:f t="shared" si="6"/>
        <ns0:v>-224.25</ns0:v>
      </ns0:c>
      <ns0:c r="M45" s="20">
        <ns0:f t="shared" si="6"/>
        <ns0:v>-224.25</ns0:v>
      </ns0:c>
      <ns0:c r="N45" s="20">
        <ns0:f t="shared" si="6"/>
        <ns0:v>-224.25</ns0:v>
      </ns0:c>
      <ns0:c r="O45" s="20">
        <ns0:f t="shared" si="6"/>
        <ns0:v>-224.25</ns0:v>
      </ns0:c>
      <ns0:c r="P45" s="20">
        <ns0:f t="shared" si="6"/>
        <ns0:v>-224.25</ns0:v>
      </ns0:c>
      <ns0:c r="Q45" s="20">
        <ns0:f t="shared" si="6"/>
        <ns0:v>-224.25</ns0:v>
      </ns0:c>
      <ns0:c r="R45" s="20">
        <ns0:f t="shared" si="6"/>
        <ns0:v>-224.25</ns0:v>
      </ns0:c>
      <ns0:c r="S45" s="20">
        <ns0:f t="shared" si="6"/>
        <ns0:v>-224.25</ns0:v>
      </ns0:c>
      <ns0:c r="T45" s="20">
        <ns0:f t="shared" si="6"/>
        <ns0:v>-224.25</ns0:v>
      </ns0:c>
      <ns0:c r="U45" s="20">
        <ns0:f t="shared" si="6"/>
        <ns0:v>-224.25</ns0:v>
      </ns0:c>
      <ns0:c r="V45" s="20">
        <ns0:f t="shared" si="6"/>
        <ns0:v>-224.25</ns0:v>
      </ns0:c>
      <ns0:c r="W45" s="20">
        <ns0:f>V45</ns0:f>
        <ns0:v>-224.25</ns0:v>
      </ns0:c>
    </ns0:row>
  </ns0:sheetData>
  <ns0:mergeCells count="3">
    <ns0:mergeCell ref="A1:W1"/>
    <ns0:mergeCell ref="A2:W2"/>
    <ns0:mergeCell ref="A3:W3"/>
  </ns0:mergeCells>
  <ns0:pageMargins left="0.75" right="0.75" top="1" bottom="1" header="0.511811023622047" footer="0.511811023622047"/>
  <ns0:pageSetup paperSize="9" orientation="portrait" horizontalDpi="300" verticalDpi="300"/>
  <ns0:legacyDrawing ns4:id="rId1"/>
</ns0: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100-000000000000}">
  <ns0:dimension ref="A1:F25"/>
  <ns0:sheetViews>
    <ns0:sheetView showGridLines="0" zoomScaleNormal="100" workbookViewId="0">
      <ns0:pane ySplit="4" topLeftCell="A5" activePane="bottomLeft" state="frozen"/>
      <ns0:selection pane="bottomLeft"/>
    </ns0:sheetView>
  </ns0:sheetViews>
  <ns0:sheetFormatPr baseColWidth="10" defaultColWidth="8.7109375" defaultRowHeight="15" ns3:dyDescent="0.25"/>
  <ns0:cols>
    <ns0:col min="1" max="1" width="14" customWidth="1"/>
    <ns0:col min="2" max="2" width="9" customWidth="1"/>
    <ns0:col min="3" max="3" width="34" customWidth="1"/>
    <ns0:col min="4" max="4" width="16" customWidth="1"/>
    <ns0:col min="5" max="5" width="14" customWidth="1"/>
    <ns0:col min="6" max="6" width="55" customWidth="1"/>
  </ns0:cols>
  <ns0:sheetData>
    <ns0:row r="1" spans="1:6" ht="18" ns3:dyDescent="0.25">
      <ns0:c r="A1" s="31" t="s">
        <ns0:v>54</ns0:v>
      </ns0:c>
      <ns0:c r="B1" s="31"/>
      <ns0:c r="C1" s="31"/>
      <ns0:c r="D1" s="31"/>
      <ns0:c r="E1" s="31"/>
      <ns0:c r="F1" s="31"/>
    </ns0:row>
    <ns0:row r="2" spans="1:6" ns3:dyDescent="0.25">
      <ns0:c r="A2" s="32" t="s">
        <ns0:v>55</ns0:v>
      </ns0:c>
      <ns0:c r="B2" s="32"/>
      <ns0:c r="C2" s="32"/>
      <ns0:c r="D2" s="32"/>
      <ns0:c r="E2" s="32"/>
      <ns0:c r="F2" s="32"/>
    </ns0:row>
    <ns0:row r="4" spans="1:6" ns3:dyDescent="0.25">
      <ns0:c r="A4" s="1" t="s">
        <ns0:v>56</ns0:v>
      </ns0:c>
      <ns0:c r="B4" s="1" t="s">
        <ns0:v>57</ns0:v>
      </ns0:c>
      <ns0:c r="C4" s="1" t="s">
        <ns0:v>58</ns0:v>
      </ns0:c>
      <ns0:c r="D4" s="1" t="s">
        <ns0:v>59</ns0:v>
      </ns0:c>
      <ns0:c r="E4" s="1" t="s">
        <ns0:v>60</ns0:v>
      </ns0:c>
      <ns0:c r="F4" s="1" t="s">
        <ns0:v>61</ns0:v>
      </ns0:c>
    </ns0:row>
    <ns0:row r="5" spans="1:6" ns3:dyDescent="0.25">
      <ns0:c r="A5" s="11" t="s">
        <ns0:v>27</ns0:v>
      </ns0:c>
      <ns0:c r="B5" s="11" t="s">
        <ns0:v>5</ns0:v>
      </ns0:c>
      <ns0:c r="C5" s="11" t="s">
        <ns0:v>62</ns0:v>
      </ns0:c>
      <ns0:c r="D5" s="11" t="s">
        <ns0:v>63</ns0:v>
      </ns0:c>
      <ns0:c r="E5" s="11" t="s">
        <ns0:v>64</ns0:v>
      </ns0:c>
      <ns0:c r="F5" s="11" t="s">
        <ns0:v>65</ns0:v>
      </ns0:c>
    </ns0:row>
    <ns0:row r="6" spans="1:6" ns3:dyDescent="0.25">
      <ns0:c r="A6" s="21" t="s">
        <ns0:v>27</ns0:v>
      </ns0:c>
      <ns0:c r="B6" s="21" t="s">
        <ns0:v>5</ns0:v>
      </ns0:c>
      <ns0:c r="C6" s="21"/>
      <ns0:c r="D6" s="21"/>
      <ns0:c r="E6" s="21"/>
      <ns0:c r="F6" s="21"/>
    </ns0:row>
    <ns0:row r="7" spans="1:6" ns3:dyDescent="0.25">
      <ns0:c r="A7" s="21" t="s">
        <ns0:v>28</ns0:v>
      </ns0:c>
      <ns0:c r="B7" s="21" t="s">
        <ns0:v>6</ns0:v>
      </ns0:c>
      <ns0:c r="C7" s="21"/>
      <ns0:c r="D7" s="21"/>
      <ns0:c r="E7" s="21"/>
      <ns0:c r="F7" s="21"/>
    </ns0:row>
    <ns0:row r="8" spans="1:6" ns3:dyDescent="0.25">
      <ns0:c r="A8" s="21" t="s">
        <ns0:v>29</ns0:v>
      </ns0:c>
      <ns0:c r="B8" s="21" t="s">
        <ns0:v>7</ns0:v>
      </ns0:c>
      <ns0:c r="C8" s="21"/>
      <ns0:c r="D8" s="21"/>
      <ns0:c r="E8" s="21"/>
      <ns0:c r="F8" s="21"/>
    </ns0:row>
    <ns0:row r="9" spans="1:6" ns3:dyDescent="0.25">
      <ns0:c r="A9" s="21" t="s">
        <ns0:v>30</ns0:v>
      </ns0:c>
      <ns0:c r="B9" s="21" t="s">
        <ns0:v>8</ns0:v>
      </ns0:c>
      <ns0:c r="C9" s="21"/>
      <ns0:c r="D9" s="21"/>
      <ns0:c r="E9" s="21"/>
      <ns0:c r="F9" s="21"/>
    </ns0:row>
    <ns0:row r="10" spans="1:6" ns3:dyDescent="0.25">
      <ns0:c r="A10" s="21" t="s">
        <ns0:v>31</ns0:v>
      </ns0:c>
      <ns0:c r="B10" s="21" t="s">
        <ns0:v>9</ns0:v>
      </ns0:c>
      <ns0:c r="C10" s="21"/>
      <ns0:c r="D10" s="21"/>
      <ns0:c r="E10" s="21"/>
      <ns0:c r="F10" s="21"/>
    </ns0:row>
    <ns0:row r="11" spans="1:6" ns3:dyDescent="0.25">
      <ns0:c r="A11" s="21" t="s">
        <ns0:v>32</ns0:v>
      </ns0:c>
      <ns0:c r="B11" s="21" t="s">
        <ns0:v>10</ns0:v>
      </ns0:c>
      <ns0:c r="C11" s="21"/>
      <ns0:c r="D11" s="21"/>
      <ns0:c r="E11" s="21"/>
      <ns0:c r="F11" s="21"/>
    </ns0:row>
    <ns0:row r="12" spans="1:6" ns3:dyDescent="0.25">
      <ns0:c r="A12" s="21" t="s">
        <ns0:v>33</ns0:v>
      </ns0:c>
      <ns0:c r="B12" s="21" t="s">
        <ns0:v>11</ns0:v>
      </ns0:c>
      <ns0:c r="C12" s="21"/>
      <ns0:c r="D12" s="21"/>
      <ns0:c r="E12" s="21"/>
      <ns0:c r="F12" s="21"/>
    </ns0:row>
    <ns0:row r="13" spans="1:6" ns3:dyDescent="0.25">
      <ns0:c r="A13" s="21" t="s">
        <ns0:v>34</ns0:v>
      </ns0:c>
      <ns0:c r="B13" s="21" t="s">
        <ns0:v>12</ns0:v>
      </ns0:c>
      <ns0:c r="C13" s="21"/>
      <ns0:c r="D13" s="21"/>
      <ns0:c r="E13" s="21"/>
      <ns0:c r="F13" s="21"/>
    </ns0:row>
    <ns0:row r="14" spans="1:6" ns3:dyDescent="0.25">
      <ns0:c r="A14" s="21" t="s">
        <ns0:v>35</ns0:v>
      </ns0:c>
      <ns0:c r="B14" s="21" t="s">
        <ns0:v>13</ns0:v>
      </ns0:c>
      <ns0:c r="C14" s="21"/>
      <ns0:c r="D14" s="21"/>
      <ns0:c r="E14" s="21"/>
      <ns0:c r="F14" s="21"/>
    </ns0:row>
    <ns0:row r="15" spans="1:6" ns3:dyDescent="0.25">
      <ns0:c r="A15" s="21" t="s">
        <ns0:v>36</ns0:v>
      </ns0:c>
      <ns0:c r="B15" s="21" t="s">
        <ns0:v>14</ns0:v>
      </ns0:c>
      <ns0:c r="C15" s="21"/>
      <ns0:c r="D15" s="21"/>
      <ns0:c r="E15" s="21"/>
      <ns0:c r="F15" s="21"/>
    </ns0:row>
    <ns0:row r="16" spans="1:6" ns3:dyDescent="0.25">
      <ns0:c r="A16" s="21" t="s">
        <ns0:v>37</ns0:v>
      </ns0:c>
      <ns0:c r="B16" s="21" t="s">
        <ns0:v>15</ns0:v>
      </ns0:c>
      <ns0:c r="C16" s="21"/>
      <ns0:c r="D16" s="21"/>
      <ns0:c r="E16" s="21"/>
      <ns0:c r="F16" s="21"/>
    </ns0:row>
    <ns0:row r="17" spans="1:6" ns3:dyDescent="0.25">
      <ns0:c r="A17" s="21" t="s">
        <ns0:v>38</ns0:v>
      </ns0:c>
      <ns0:c r="B17" s="21" t="s">
        <ns0:v>16</ns0:v>
      </ns0:c>
      <ns0:c r="C17" s="21"/>
      <ns0:c r="D17" s="21"/>
      <ns0:c r="E17" s="21"/>
      <ns0:c r="F17" s="21"/>
    </ns0:row>
    <ns0:row r="18" spans="1:6" ns3:dyDescent="0.25">
      <ns0:c r="A18" s="21" t="s">
        <ns0:v>39</ns0:v>
      </ns0:c>
      <ns0:c r="B18" s="21" t="s">
        <ns0:v>17</ns0:v>
      </ns0:c>
      <ns0:c r="C18" s="21"/>
      <ns0:c r="D18" s="21"/>
      <ns0:c r="E18" s="21"/>
      <ns0:c r="F18" s="21"/>
    </ns0:row>
    <ns0:row r="19" spans="1:6" ns3:dyDescent="0.25">
      <ns0:c r="A19" s="21" t="s">
        <ns0:v>40</ns0:v>
      </ns0:c>
      <ns0:c r="B19" s="21" t="s">
        <ns0:v>18</ns0:v>
      </ns0:c>
      <ns0:c r="C19" s="21"/>
      <ns0:c r="D19" s="21"/>
      <ns0:c r="E19" s="21"/>
      <ns0:c r="F19" s="21"/>
    </ns0:row>
    <ns0:row r="20" spans="1:6" ns3:dyDescent="0.25">
      <ns0:c r="A20" s="21" t="s">
        <ns0:v>41</ns0:v>
      </ns0:c>
      <ns0:c r="B20" s="21" t="s">
        <ns0:v>19</ns0:v>
      </ns0:c>
      <ns0:c r="C20" s="21"/>
      <ns0:c r="D20" s="21"/>
      <ns0:c r="E20" s="21"/>
      <ns0:c r="F20" s="21"/>
    </ns0:row>
    <ns0:row r="21" spans="1:6" ns3:dyDescent="0.25">
      <ns0:c r="A21" s="21" t="s">
        <ns0:v>42</ns0:v>
      </ns0:c>
      <ns0:c r="B21" s="21" t="s">
        <ns0:v>20</ns0:v>
      </ns0:c>
      <ns0:c r="C21" s="21"/>
      <ns0:c r="D21" s="21"/>
      <ns0:c r="E21" s="21"/>
      <ns0:c r="F21" s="21"/>
    </ns0:row>
    <ns0:row r="22" spans="1:6" ns3:dyDescent="0.25">
      <ns0:c r="A22" s="21" t="s">
        <ns0:v>43</ns0:v>
      </ns0:c>
      <ns0:c r="B22" s="21" t="s">
        <ns0:v>21</ns0:v>
      </ns0:c>
      <ns0:c r="C22" s="21"/>
      <ns0:c r="D22" s="21"/>
      <ns0:c r="E22" s="21"/>
      <ns0:c r="F22" s="21"/>
    </ns0:row>
    <ns0:row r="23" spans="1:6" ns3:dyDescent="0.25">
      <ns0:c r="A23" s="21" t="s">
        <ns0:v>44</ns0:v>
      </ns0:c>
      <ns0:c r="B23" s="21" t="s">
        <ns0:v>22</ns0:v>
      </ns0:c>
      <ns0:c r="C23" s="21"/>
      <ns0:c r="D23" s="21"/>
      <ns0:c r="E23" s="21"/>
      <ns0:c r="F23" s="21"/>
    </ns0:row>
    <ns0:row r="24" spans="1:6" ns3:dyDescent="0.25">
      <ns0:c r="A24" s="21" t="s">
        <ns0:v>45</ns0:v>
      </ns0:c>
      <ns0:c r="B24" s="21" t="s">
        <ns0:v>23</ns0:v>
      </ns0:c>
      <ns0:c r="C24" s="21"/>
      <ns0:c r="D24" s="21"/>
      <ns0:c r="E24" s="21"/>
      <ns0:c r="F24" s="21"/>
    </ns0:row>
    <ns0:row r="25" spans="1:6" ns3:dyDescent="0.25">
      <ns0:c r="A25" s="21" t="s">
        <ns0:v>46</ns0:v>
      </ns0:c>
      <ns0:c r="B25" s="21" t="s">
        <ns0:v>24</ns0:v>
      </ns0:c>
      <ns0:c r="C25" s="21"/>
      <ns0:c r="D25" s="21"/>
      <ns0:c r="E25" s="21"/>
      <ns0:c r="F25" s="21"/>
    </ns0:row>
  </ns0:sheetData>
  <ns0:mergeCells count="2">
    <ns0:mergeCell ref="A1:F1"/>
    <ns0:mergeCell ref="A2:F2"/>
  </ns0:mergeCells>
  <ns0:pageMargins left="0.75" right="0.75" top="1" bottom="1" header="0.511811023622047" footer="0.511811023622047"/>
  <ns0:pageSetup paperSize="9" orientation="portrait" horizontalDpi="300" verticalDpi="300"/>
  <ns0:tableParts count="1">
    <ns0:tablePart ns4:id="rId1"/>
  </ns0:tableParts>
</ns0: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200-000000000000}">
  <ns0:dimension ref="A1:C29"/>
  <ns0:sheetViews>
    <ns0:sheetView showGridLines="0" zoomScaleNormal="100" workbookViewId="0"/>
  </ns0:sheetViews>
  <ns0:sheetFormatPr baseColWidth="10" defaultColWidth="8.7109375" defaultRowHeight="15" ns3:dyDescent="0.25"/>
  <ns0:cols>
    <ns0:col min="1" max="1" width="32" customWidth="1"/>
    <ns0:col min="2" max="2" width="24" customWidth="1"/>
    <ns0:col min="3" max="3" width="60" customWidth="1"/>
  </ns0:cols>
  <ns0:sheetData>
    <ns0:row r="1" spans="1:3" ht="18" ns3:dyDescent="0.25">
      <ns0:c r="A1" s="31" t="s">
        <ns0:v>66</ns0:v>
      </ns0:c>
      <ns0:c r="B1" s="31"/>
      <ns0:c r="C1" s="31"/>
    </ns0:row>
    <ns0:row r="3" spans="1:3" ns3:dyDescent="0.25">
      <ns0:c r="A3" s="22" t="s">
        <ns0:v>67</ns0:v>
      </ns0:c>
      <ns0:c r="B3" s="23"/>
      <ns0:c r="C3" s="23"/>
    </ns0:row>
    <ns0:row r="4" spans="1:3" ns3:dyDescent="0.25">
      <ns0:c r="A4" s="6" t="s">
        <ns0:v>57</ns0:v>
      </ns0:c>
      <ns0:c r="B4" s="6" t="s">
        <ns0:v>68</ns0:v>
      </ns0:c>
      <ns0:c r="C4" s="6" t="s">
        <ns0:v>61</ns0:v>
      </ns0:c>
    </ns0:row>
    <ns0:row r="5" spans="1:3" ns3:dyDescent="0.25">
      <ns0:c r="A5" s="24" t="s">
        <ns0:v>5</ns0:v>
      </ns0:c>
      <ns0:c r="B5" s="24" t="s">
        <ns0:v>69</ns0:v>
      </ns0:c>
    </ns0:row>
    <ns0:row r="6" spans="1:3" ns3:dyDescent="0.25">
      <ns0:c r="A6" s="24" t="s">
        <ns0:v>24</ns0:v>
      </ns0:c>
      <ns0:c r="B6" s="24" t="s">
        <ns0:v>70</ns0:v>
      </ns0:c>
    </ns0:row>
    <ns0:row r="7" spans="1:3" ns3:dyDescent="0.25">
      <ns0:c r="A7" s="24" t="s">
        <ns0:v>71</ns0:v>
      </ns0:c>
      <ns0:c r="B7" s="24" t="s">
        <ns0:v>72</ns0:v>
      </ns0:c>
      <ns0:c r="C7" s="24" t="s">
        <ns0:v>73</ns0:v>
      </ns0:c>
    </ns0:row>
    <ns0:row r="8" spans="1:3" ns3:dyDescent="0.25">
      <ns0:c r="A8" s="24" t="s">
        <ns0:v>74</ns0:v>
      </ns0:c>
      <ns0:c r="B8" s="24" t="s">
        <ns0:v>75</ns0:v>
      </ns0:c>
      <ns0:c r="C8" s="24" t="s">
        <ns0:v>76</ns0:v>
      </ns0:c>
    </ns0:row>
    <ns0:row r="9" spans="1:3" ns3:dyDescent="0.25">
      <ns0:c r="A9" s="24" t="s">
        <ns0:v>77</ns0:v>
      </ns0:c>
      <ns0:c r="B9" s="24" t="s">
        <ns0:v>78</ns0:v>
      </ns0:c>
      <ns0:c r="C9" s="24" t="s">
        <ns0:v>76</ns0:v>
      </ns0:c>
    </ns0:row>
    <ns0:row r="10" spans="1:3" ns3:dyDescent="0.25">
      <ns0:c r="A10" s="24" t="s">
        <ns0:v>79</ns0:v>
      </ns0:c>
      <ns0:c r="B10" s="24" t="s">
        <ns0:v>80</ns0:v>
      </ns0:c>
      <ns0:c r="C10" s="24" t="s">
        <ns0:v>81</ns0:v>
      </ns0:c>
    </ns0:row>
    <ns0:row r="11" spans="1:3" ns3:dyDescent="0.25">
      <ns0:c r="A11" s="24" t="s">
        <ns0:v>82</ns0:v>
      </ns0:c>
      <ns0:c r="B11" s="24" t="s">
        <ns0:v>83</ns0:v>
      </ns0:c>
      <ns0:c r="C11" s="24" t="s">
        <ns0:v>76</ns0:v>
      </ns0:c>
    </ns0:row>
    <ns0:row r="13" spans="1:3" ns3:dyDescent="0.25">
      <ns0:c r="A13" s="22" t="s">
        <ns0:v>47</ns0:v>
      </ns0:c>
      <ns0:c r="B13" s="23"/>
      <ns0:c r="C13" s="23"/>
    </ns0:row>
    <ns0:row r="14" spans="1:3" ns3:dyDescent="0.25">
      <ns0:c r="A14" s="24" t="s">
        <ns0:v>84</ns0:v>
      </ns0:c>
      <ns0:c r="B14" s="25">
        <ns0:f>'Flujo de Caja'!C7</ns0:f>
        <ns0:v>92.87</ns0:v>
      </ns0:c>
      <ns0:c r="C14" s="24" t="s">
        <ns0:v>85</ns0:v>
      </ns0:c>
    </ns0:row>
    <ns0:row r="16" spans="1:3" ns3:dyDescent="0.25">
      <ns0:c r="A16" s="22" t="s">
        <ns0:v>86</ns0:v>
      </ns0:c>
      <ns0:c r="B16" s="23"/>
      <ns0:c r="C16" s="23"/>
    </ns0:row>
    <ns0:row r="17" spans="1:3" ht="15" customHeight="1" ns3:dyDescent="0.25">
      <ns0:c r="A17" s="34" t="s">
        <ns0:v>87</ns0:v>
      </ns0:c>
      <ns0:c r="B17" s="34"/>
      <ns0:c r="C17" s="34"/>
    </ns0:row>
    <ns0:row r="18" spans="1:3" ht="15" customHeight="1" ns3:dyDescent="0.25">
      <ns0:c r="A18" s="34" t="s">
        <ns0:v>88</ns0:v>
      </ns0:c>
      <ns0:c r="B18" s="34"/>
      <ns0:c r="C18" s="34"/>
    </ns0:row>
    <ns0:row r="19" spans="1:3" ht="23.85" customHeight="1" ns3:dyDescent="0.25">
      <ns0:c r="A19" s="34" t="s">
        <ns0:v>89</ns0:v>
      </ns0:c>
      <ns0:c r="B19" s="34"/>
      <ns0:c r="C19" s="34"/>
    </ns0:row>
    <ns0:row r="20" spans="1:3" ht="15" customHeight="1" ns3:dyDescent="0.25">
      <ns0:c r="A20" s="34" t="s">
        <ns0:v>90</ns0:v>
      </ns0:c>
      <ns0:c r="B20" s="34"/>
      <ns0:c r="C20" s="34"/>
    </ns0:row>
    <ns0:row r="21" spans="1:3" ht="15" customHeight="1" ns3:dyDescent="0.25">
      <ns0:c r="A21" s="34" t="s">
        <ns0:v>91</ns0:v>
      </ns0:c>
      <ns0:c r="B21" s="34"/>
      <ns0:c r="C21" s="34"/>
    </ns0:row>
    <ns0:row r="23" spans="1:3" ns3:dyDescent="0.25">
      <ns0:c r="A23" s="22" t="s">
        <ns0:v>92</ns0:v>
      </ns0:c>
      <ns0:c r="B23" s="23"/>
      <ns0:c r="C23" s="23"/>
    </ns0:row>
    <ns0:row r="24" spans="1:3" ht="15" customHeight="1" ns3:dyDescent="0.25">
      <ns0:c r="A24" s="24" t="s">
        <ns0:v>93</ns0:v>
      </ns0:c>
      <ns0:c r="B24" s="34" t="s">
        <ns0:v>94</ns0:v>
      </ns0:c>
      <ns0:c r="C24" s="34"/>
    </ns0:row>
    <ns0:row r="25" spans="1:3" ht="15" customHeight="1" ns3:dyDescent="0.25">
      <ns0:c r="A25" s="24" t="s">
        <ns0:v>95</ns0:v>
      </ns0:c>
      <ns0:c r="B25" s="34" t="s">
        <ns0:v>96</ns0:v>
      </ns0:c>
      <ns0:c r="C25" s="34"/>
    </ns0:row>
    <ns0:row r="26" spans="1:3" ht="15" customHeight="1" ns3:dyDescent="0.25">
      <ns0:c r="A26" s="24" t="s">
        <ns0:v>97</ns0:v>
      </ns0:c>
      <ns0:c r="B26" s="34" t="s">
        <ns0:v>98</ns0:v>
      </ns0:c>
      <ns0:c r="C26" s="34"/>
    </ns0:row>
    <ns0:row r="27" spans="1:3" ht="15" customHeight="1" ns3:dyDescent="0.25">
      <ns0:c r="A27" s="24" t="s">
        <ns0:v>99</ns0:v>
      </ns0:c>
      <ns0:c r="B27" s="34" t="s">
        <ns0:v>100</ns0:v>
      </ns0:c>
      <ns0:c r="C27" s="34"/>
    </ns0:row>
    <ns0:row r="28" spans="1:3" ht="15" customHeight="1" ns3:dyDescent="0.25">
      <ns0:c r="A28" s="24" t="s">
        <ns0:v>101</ns0:v>
      </ns0:c>
      <ns0:c r="B28" s="34" t="s">
        <ns0:v>102</ns0:v>
      </ns0:c>
      <ns0:c r="C28" s="34"/>
    </ns0:row>
    <ns0:row r="29" spans="1:3" ht="15" customHeight="1" ns3:dyDescent="0.25">
      <ns0:c r="A29" s="24" t="s">
        <ns0:v>103</ns0:v>
      </ns0:c>
      <ns0:c r="B29" s="34" t="s">
        <ns0:v>104</ns0:v>
      </ns0:c>
      <ns0:c r="C29" s="34"/>
    </ns0:row>
  </ns0:sheetData>
  <ns0:mergeCells count="12">
    <ns0:mergeCell ref="A1:C1"/>
    <ns0:mergeCell ref="A17:C17"/>
    <ns0:mergeCell ref="A18:C18"/>
    <ns0:mergeCell ref="A19:C19"/>
    <ns0:mergeCell ref="A20:C20"/>
    <ns0:mergeCell ref="B28:C28"/>
    <ns0:mergeCell ref="B29:C29"/>
    <ns0:mergeCell ref="A21:C21"/>
    <ns0:mergeCell ref="B24:C24"/>
    <ns0:mergeCell ref="B25:C25"/>
    <ns0:mergeCell ref="B26:C26"/>
    <ns0:mergeCell ref="B27:C27"/>
  </ns0:mergeCells>
  <ns0:pageMargins left="0.75" right="0.75" top="1" bottom="1" header="0.511811023622047" footer="0.511811023622047"/>
  <ns0:pageSetup paperSize="9" orientation="portrait" horizontalDpi="300" verticalDpi="300"/>
</ns0:worksheet>
</file>

<file path=xl/worksheets/sheet4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300-000000000000}">
  <ns0:dimension ref="A1:F22"/>
  <ns0:sheetViews>
    <ns0:sheetView showGridLines="0" zoomScaleNormal="100" workbookViewId="0"/>
  </ns0:sheetViews>
  <ns0:sheetFormatPr baseColWidth="10" defaultColWidth="8.7109375" defaultRowHeight="15" ns3:dyDescent="0.25"/>
  <ns0:cols>
    <ns0:col min="1" max="6" width="16" customWidth="1"/>
  </ns0:cols>
  <ns0:sheetData>
    <ns0:row r="1" spans="1:6" ht="18" ns3:dyDescent="0.25">
      <ns0:c r="A1" s="31" t="s">
        <ns0:v>105</ns0:v>
      </ns0:c>
      <ns0:c r="B1" s="31"/>
      <ns0:c r="C1" s="31"/>
      <ns0:c r="D1" s="31"/>
      <ns0:c r="E1" s="31"/>
      <ns0:c r="F1" s="31"/>
    </ns0:row>
    <ns0:row r="2" spans="1:6" ns3:dyDescent="0.25">
      <ns0:c r="A2" s="32" t="s">
        <ns0:v>106</ns0:v>
      </ns0:c>
      <ns0:c r="B2" s="32"/>
      <ns0:c r="C2" s="32"/>
      <ns0:c r="D2" s="32"/>
      <ns0:c r="E2" s="32"/>
      <ns0:c r="F2" s="32"/>
    </ns0:row>
    <ns0:row r="4" spans="1:6" ns3:dyDescent="0.25">
      <ns0:c r="A4" s="22" t="s">
        <ns0:v>107</ns0:v>
      </ns0:c>
      <ns0:c r="B4" s="23"/>
      <ns0:c r="C4" s="23"/>
      <ns0:c r="D4" s="23"/>
      <ns0:c r="E4" s="23"/>
      <ns0:c r="F4" s="23"/>
    </ns0:row>
    <ns0:row r="5" spans="1:6" ht="25.5" ns3:dyDescent="0.25">
      <ns0:c r="A5" s="26" t="s">
        <ns0:v>108</ns0:v>
      </ns0:c>
      <ns0:c r="B5" s="26" t="s">
        <ns0:v>109</ns0:v>
      </ns0:c>
      <ns0:c r="C5" s="26" t="s">
        <ns0:v>110</ns0:v>
      </ns0:c>
      <ns0:c r="D5" s="26" t="s">
        <ns0:v>111</ns0:v>
      </ns0:c>
      <ns0:c r="E5" s="26" t="s">
        <ns0:v>112</ns0:v>
      </ns0:c>
      <ns0:c r="F5" s="26" t="s">
        <ns0:v>113</ns0:v>
      </ns0:c>
    </ns0:row>
    <ns0:row r="6" spans="1:6" ns3:dyDescent="0.25">
      <ns0:c r="A6" s="24" t="s">
        <ns0:v>71</ns0:v>
      </ns0:c>
      <ns0:c r="B6" s="24" t="s">
        <ns0:v>114</ns0:v>
      </ns0:c>
      <ns0:c r="C6" s="8">
        <ns0:f>SUM('Flujo de Caja'!C24:E24)</ns0:f>
        <ns0:v>49</ns0:v>
      </ns0:c>
      <ns0:c r="D6" s="8">
        <ns0:f>SUM('Flujo de Caja'!C42:E42)</ns0:f>
        <ns0:v>366.12</ns0:v>
      </ns0:c>
      <ns0:c r="E6" s="8">
        <ns0:f>C6-D6</ns0:f>
        <ns0:v>-317.12</ns0:v>
      </ns0:c>
      <ns0:c r="F6" s="8">
        <ns0:f>'Flujo de Caja'!E45</ns0:f>
        <ns0:v>-224.25</ns0:v>
      </ns0:c>
    </ns0:row>
    <ns0:row r="7" spans="1:6" ns3:dyDescent="0.25">
      <ns0:c r="A7" s="24" t="s">
        <ns0:v>74</ns0:v>
      </ns0:c>
      <ns0:c r="B7" s="24" t="s">
        <ns0:v>115</ns0:v>
      </ns0:c>
      <ns0:c r="C7" s="8">
        <ns0:f>SUM('Flujo de Caja'!F24:I24)</ns0:f>
        <ns0:v>0</ns0:v>
      </ns0:c>
      <ns0:c r="D7" s="8">
        <ns0:f>SUM('Flujo de Caja'!F42:I42)</ns0:f>
        <ns0:v>0</ns0:v>
      </ns0:c>
      <ns0:c r="E7" s="8">
        <ns0:f>C7-D7</ns0:f>
        <ns0:v>0</ns0:v>
      </ns0:c>
      <ns0:c r="F7" s="8">
        <ns0:f>'Flujo de Caja'!I45</ns0:f>
        <ns0:v>-224.25</ns0:v>
      </ns0:c>
    </ns0:row>
    <ns0:row r="8" spans="1:6" ns3:dyDescent="0.25">
      <ns0:c r="A8" s="24" t="s">
        <ns0:v>77</ns0:v>
      </ns0:c>
      <ns0:c r="B8" s="24" t="s">
        <ns0:v>116</ns0:v>
      </ns0:c>
      <ns0:c r="C8" s="8">
        <ns0:f>SUM('Flujo de Caja'!J24:M24)</ns0:f>
        <ns0:v>0</ns0:v>
      </ns0:c>
      <ns0:c r="D8" s="8">
        <ns0:f>SUM('Flujo de Caja'!J42:M42)</ns0:f>
        <ns0:v>0</ns0:v>
      </ns0:c>
      <ns0:c r="E8" s="8">
        <ns0:f>C8-D8</ns0:f>
        <ns0:v>0</ns0:v>
      </ns0:c>
      <ns0:c r="F8" s="8">
        <ns0:f>'Flujo de Caja'!M45</ns0:f>
        <ns0:v>-224.25</ns0:v>
      </ns0:c>
    </ns0:row>
    <ns0:row r="9" spans="1:6" ns3:dyDescent="0.25">
      <ns0:c r="A9" s="24" t="s">
        <ns0:v>79</ns0:v>
      </ns0:c>
      <ns0:c r="B9" s="24" t="s">
        <ns0:v>117</ns0:v>
      </ns0:c>
      <ns0:c r="C9" s="8">
        <ns0:f>SUM('Flujo de Caja'!N24:R24)</ns0:f>
        <ns0:v>0</ns0:v>
      </ns0:c>
      <ns0:c r="D9" s="8">
        <ns0:f>SUM('Flujo de Caja'!N42:R42)</ns0:f>
        <ns0:v>0</ns0:v>
      </ns0:c>
      <ns0:c r="E9" s="8">
        <ns0:f>C9-D9</ns0:f>
        <ns0:v>0</ns0:v>
      </ns0:c>
      <ns0:c r="F9" s="8">
        <ns0:f>'Flujo de Caja'!R45</ns0:f>
        <ns0:v>-224.25</ns0:v>
      </ns0:c>
    </ns0:row>
    <ns0:row r="10" spans="1:6" ns3:dyDescent="0.25">
      <ns0:c r="A10" s="24" t="s">
        <ns0:v>82</ns0:v>
      </ns0:c>
      <ns0:c r="B10" s="24" t="s">
        <ns0:v>118</ns0:v>
      </ns0:c>
      <ns0:c r="C10" s="8">
        <ns0:f>SUM('Flujo de Caja'!S24:V24)</ns0:f>
        <ns0:v>0</ns0:v>
      </ns0:c>
      <ns0:c r="D10" s="8">
        <ns0:f>SUM('Flujo de Caja'!S42:V42)</ns0:f>
        <ns0:v>0</ns0:v>
      </ns0:c>
      <ns0:c r="E10" s="8">
        <ns0:f>C10-D10</ns0:f>
        <ns0:v>0</ns0:v>
      </ns0:c>
      <ns0:c r="F10" s="8">
        <ns0:f>'Flujo de Caja'!V45</ns0:f>
        <ns0:v>-224.25</ns0:v>
      </ns0:c>
    </ns0:row>
    <ns0:row r="11" spans="1:6" ns3:dyDescent="0.25">
      <ns0:c r="A11" s="12" t="s">
        <ns0:v>25</ns0:v>
      </ns0:c>
      <ns0:c r="B11" s="13"/>
      <ns0:c r="C11" s="14">
        <ns0:f>SUM(C6:C10)</ns0:f>
        <ns0:v>49</ns0:v>
      </ns0:c>
      <ns0:c r="D11" s="14">
        <ns0:f>SUM(D6:D10)</ns0:f>
        <ns0:v>366.12</ns0:v>
      </ns0:c>
      <ns0:c r="E11" s="14">
        <ns0:f>SUM(E6:E10)</ns0:f>
        <ns0:v>-317.12</ns0:v>
      </ns0:c>
      <ns0:c r="F11" s="14">
        <ns0:f>F10</ns0:f>
        <ns0:v>-224.25</ns0:v>
      </ns0:c>
    </ns0:row>
    <ns0:row r="13" spans="1:6" ns3:dyDescent="0.25">
      <ns0:c r="A13" s="22" t="s">
        <ns0:v>119</ns0:v>
      </ns0:c>
      <ns0:c r="B13" s="23"/>
      <ns0:c r="C13" s="23"/>
      <ns0:c r="D13" s="23"/>
      <ns0:c r="E13" s="23"/>
      <ns0:c r="F13" s="23"/>
    </ns0:row>
    <ns0:row r="14" spans="1:6" ns3:dyDescent="0.25">
      <ns0:c r="A14" s="24" t="s">
        <ns0:v>120</ns0:v>
      </ns0:c>
      <ns0:c r="B14" s="27">
        <ns0:v>0.15</ns0:v>
      </ns0:c>
    </ns0:row>
    <ns0:row r="15" spans="1:6" ns3:dyDescent="0.25">
      <ns0:c r="A15" s="24" t="s">
        <ns0:v>121</ns0:v>
      </ns0:c>
      <ns0:c r="B15" s="27">
        <ns0:v>0.1</ns0:v>
      </ns0:c>
    </ns0:row>
    <ns0:row r="17" spans="1:6" ht="25.5" ns3:dyDescent="0.25">
      <ns0:c r="A17" s="26" t="s">
        <ns0:v>122</ns0:v>
      </ns0:c>
      <ns0:c r="B17" s="26" t="s">
        <ns0:v>110</ns0:v>
      </ns0:c>
      <ns0:c r="C17" s="26" t="s">
        <ns0:v>111</ns0:v>
      </ns0:c>
      <ns0:c r="D17" s="26" t="s">
        <ns0:v>112</ns0:v>
      </ns0:c>
      <ns0:c r="E17" s="26" t="s">
        <ns0:v>123</ns0:v>
      </ns0:c>
    </ns0:row>
    <ns0:row r="18" spans="1:6" ns3:dyDescent="0.25">
      <ns0:c r="A18" s="6" t="s">
        <ns0:v>124</ns0:v>
      </ns0:c>
      <ns0:c r="B18" s="8">
        <ns0:f>$C$11*(1-$B$14)</ns0:f>
        <ns0:v>41.65</ns0:v>
      </ns0:c>
      <ns0:c r="C18" s="8">
        <ns0:f>$D$11*(1+$B$15)</ns0:f>
        <ns0:v>402.732</ns0:v>
      </ns0:c>
      <ns0:c r="D18" s="8">
        <ns0:f>B18-C18</ns0:f>
        <ns0:v>-361.08200000000005</ns0:v>
      </ns0:c>
      <ns0:c r="E18" s="8">
        <ns0:f>'Flujo de Caja'!C7+D18</ns0:f>
        <ns0:v>-268.21200000000005</ns0:v>
      </ns0:c>
    </ns0:row>
    <ns0:row r="19" spans="1:6" ns3:dyDescent="0.25">
      <ns0:c r="A19" s="6" t="s">
        <ns0:v>125</ns0:v>
      </ns0:c>
      <ns0:c r="B19" s="8">
        <ns0:f>$C$11</ns0:f>
        <ns0:v>49</ns0:v>
      </ns0:c>
      <ns0:c r="C19" s="8">
        <ns0:f>$D$11</ns0:f>
        <ns0:v>366.12</ns0:v>
      </ns0:c>
      <ns0:c r="D19" s="8">
        <ns0:f>B19-C19</ns0:f>
        <ns0:v>-317.12</ns0:v>
      </ns0:c>
      <ns0:c r="E19" s="8">
        <ns0:f>'Flujo de Caja'!C7+D19</ns0:f>
        <ns0:v>-224.25</ns0:v>
      </ns0:c>
    </ns0:row>
    <ns0:row r="20" spans="1:6" ns3:dyDescent="0.25">
      <ns0:c r="A20" s="6" t="s">
        <ns0:v>126</ns0:v>
      </ns0:c>
      <ns0:c r="B20" s="8">
        <ns0:f>$C$11*(1+$B$14)</ns0:f>
        <ns0:v>56.349999999999994</ns0:v>
      </ns0:c>
      <ns0:c r="C20" s="8">
        <ns0:f>$D$11*(1-$B$15)</ns0:f>
        <ns0:v>329.50800000000004</ns0:v>
      </ns0:c>
      <ns0:c r="D20" s="8">
        <ns0:f>B20-C20</ns0:f>
        <ns0:v>-273.158</ns0:v>
      </ns0:c>
      <ns0:c r="E20" s="8">
        <ns0:f>'Flujo de Caja'!C7+D20</ns0:f>
        <ns0:v>-180.288</ns0:v>
      </ns0:c>
    </ns0:row>
    <ns0:row r="22" spans="1:6" ht="22.35" customHeight="1" ns3:dyDescent="0.25">
      <ns0:c r="A22" s="35" t="s">
        <ns0:v>127</ns0:v>
      </ns0:c>
      <ns0:c r="B22" s="35"/>
      <ns0:c r="C22" s="35"/>
      <ns0:c r="D22" s="35"/>
      <ns0:c r="E22" s="35"/>
      <ns0:c r="F22" s="35"/>
    </ns0:row>
  </ns0:sheetData>
  <ns0:mergeCells count="3">
    <ns0:mergeCell ref="A1:F1"/>
    <ns0:mergeCell ref="A2:F2"/>
    <ns0:mergeCell ref="A22:F22"/>
  </ns0:mergeCells>
  <ns0:pageMargins left="0.75" right="0.75" top="1" bottom="1" header="0.511811023622047" footer="0.511811023622047"/>
  <ns0:pageSetup paperSize="9" orientation="portrait" horizontalDpi="300" verticalDpi="300"/>
  <ns0:drawing ns4:id="rId1"/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Flujo de Caja</vt:lpstr>
      <vt:lpstr>Calendario Actividades</vt:lpstr>
      <vt:lpstr>Supuestos</vt:lpstr>
      <vt:lpstr>Proyecciones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Victor Fernando Alvarado Soplapuco</cp:lastModifiedBy>
  <cp:revision>1</cp:revision>
  <dcterms:created xsi:type="dcterms:W3CDTF">2026-08-31T01:01:28Z</dcterms:created>
  <dcterms:modified xsi:type="dcterms:W3CDTF">2026-09-05T22:46:53Z</dcterms:modified>
  <dc:language>en-US</dc:language>
</cp:coreProperties>
</file>