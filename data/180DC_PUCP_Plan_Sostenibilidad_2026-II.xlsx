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4A621A08-3451-4BA1-9D90-ED587E0AC22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Flujo de Caja" sheetId="1" r:id="rId1"/>
    <sheet name="Calendario Actividades" sheetId="2" r:id="rId2"/>
    <sheet name="Supuestos" sheetId="3" r:id="rId3"/>
    <sheet name="Proyecci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V44" i="1"/>
  <c r="T44" i="1"/>
  <c r="P44" i="1"/>
  <c r="K44" i="1"/>
  <c r="J44" i="1"/>
  <c r="H44" i="1"/>
  <c r="V42" i="1"/>
  <c r="U42" i="1"/>
  <c r="T42" i="1"/>
  <c r="S42" i="1"/>
  <c r="D10" i="4" s="1"/>
  <c r="R42" i="1"/>
  <c r="Q42" i="1"/>
  <c r="D9" i="4" s="1"/>
  <c r="P42" i="1"/>
  <c r="O42" i="1"/>
  <c r="N42" i="1"/>
  <c r="M42" i="1"/>
  <c r="L42" i="1"/>
  <c r="K42" i="1"/>
  <c r="D8" i="4" s="1"/>
  <c r="J42" i="1"/>
  <c r="I42" i="1"/>
  <c r="H42" i="1"/>
  <c r="G42" i="1"/>
  <c r="F42" i="1"/>
  <c r="D7" i="4" s="1"/>
  <c r="E42" i="1"/>
  <c r="D42" i="1"/>
  <c r="C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V24" i="1"/>
  <c r="U24" i="1"/>
  <c r="U44" i="1" s="1"/>
  <c r="T24" i="1"/>
  <c r="S24" i="1"/>
  <c r="S44" i="1" s="1"/>
  <c r="R24" i="1"/>
  <c r="R44" i="1" s="1"/>
  <c r="Q24" i="1"/>
  <c r="Q44" i="1" s="1"/>
  <c r="P24" i="1"/>
  <c r="O24" i="1"/>
  <c r="O44" i="1" s="1"/>
  <c r="N24" i="1"/>
  <c r="N44" i="1" s="1"/>
  <c r="M24" i="1"/>
  <c r="M44" i="1" s="1"/>
  <c r="L24" i="1"/>
  <c r="L44" i="1" s="1"/>
  <c r="K24" i="1"/>
  <c r="J24" i="1"/>
  <c r="C8" i="4" s="1"/>
  <c r="E8" i="4" s="1"/>
  <c r="I24" i="1"/>
  <c r="I44" i="1" s="1"/>
  <c r="H24" i="1"/>
  <c r="G24" i="1"/>
  <c r="G44" i="1" s="1"/>
  <c r="F24" i="1"/>
  <c r="F44" i="1" s="1"/>
  <c r="E24" i="1"/>
  <c r="E44" i="1" s="1"/>
  <c r="D24" i="1"/>
  <c r="C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42" i="1" l="1"/>
  <c r="C44" i="1"/>
  <c r="C45" i="1" s="1"/>
  <c r="D7" i="1" s="1"/>
  <c r="D45" i="1" s="1"/>
  <c r="E7" i="1" s="1"/>
  <c r="E45" i="1" s="1"/>
  <c r="D6" i="4"/>
  <c r="D44" i="1"/>
  <c r="W24" i="1"/>
  <c r="D11" i="4"/>
  <c r="C6" i="4"/>
  <c r="C7" i="4"/>
  <c r="E7" i="4" s="1"/>
  <c r="C10" i="4"/>
  <c r="E10" i="4" s="1"/>
  <c r="C9" i="4"/>
  <c r="E9" i="4" s="1"/>
  <c r="F7" i="1" l="1"/>
  <c r="F45" i="1" s="1"/>
  <c r="G7" i="1" s="1"/>
  <c r="G45" i="1" s="1"/>
  <c r="H7" i="1" s="1"/>
  <c r="H45" i="1" s="1"/>
  <c r="I7" i="1" s="1"/>
  <c r="I45" i="1" s="1"/>
  <c r="F6" i="4"/>
  <c r="W44" i="1"/>
  <c r="C20" i="4"/>
  <c r="C19" i="4"/>
  <c r="C18" i="4"/>
  <c r="C11" i="4"/>
  <c r="E6" i="4"/>
  <c r="E11" i="4" s="1"/>
  <c r="F7" i="4"/>
  <c r="J7" i="1"/>
  <c r="J45" i="1" s="1"/>
  <c r="K7" i="1" s="1"/>
  <c r="K45" i="1" s="1"/>
  <c r="L7" i="1" s="1"/>
  <c r="L45" i="1" s="1"/>
  <c r="M7" i="1" s="1"/>
  <c r="M45" i="1" s="1"/>
  <c r="F8" i="4" l="1"/>
  <c r="N7" i="1"/>
  <c r="N45" i="1" s="1"/>
  <c r="O7" i="1" s="1"/>
  <c r="O45" i="1" s="1"/>
  <c r="P7" i="1" s="1"/>
  <c r="P45" i="1" s="1"/>
  <c r="Q7" i="1" s="1"/>
  <c r="Q45" i="1" s="1"/>
  <c r="R7" i="1" s="1"/>
  <c r="R45" i="1" s="1"/>
  <c r="B20" i="4"/>
  <c r="D20" i="4" s="1"/>
  <c r="E20" i="4" s="1"/>
  <c r="B19" i="4"/>
  <c r="D19" i="4" s="1"/>
  <c r="E19" i="4" s="1"/>
  <c r="B18" i="4"/>
  <c r="D18" i="4" s="1"/>
  <c r="E18" i="4" s="1"/>
  <c r="S7" i="1" l="1"/>
  <c r="S45" i="1" s="1"/>
  <c r="T7" i="1" s="1"/>
  <c r="T45" i="1" s="1"/>
  <c r="U7" i="1" s="1"/>
  <c r="U45" i="1" s="1"/>
  <c r="V7" i="1" s="1"/>
  <c r="V45" i="1" s="1"/>
  <c r="F9" i="4"/>
  <c r="W45" i="1" l="1"/>
  <c r="F10" i="4"/>
  <c r="F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Ingresa aquí el saldo real disponible al iniciar el semestre (17/08/2026).</t>
        </r>
      </text>
    </comment>
  </commentList>
</comments>
</file>

<file path=xl/sharedStrings.xml><?xml version="1.0" encoding="utf-8"?>
<sst xmlns="http://schemas.openxmlformats.org/spreadsheetml/2006/main" count="196" uniqueCount="137">
  <si>
    <t>180DC PUCP — Plan de Sostenibilidad Financiera</t>
  </si>
  <si>
    <t>Flujo de Caja Semanal — Semestre Académico 2026-II</t>
  </si>
  <si>
    <t>S1 = Semana del 17/08/2026 (inicio del semestre)  |  S20 = Semana del 28/12/2026 (cierre del semestre)  |  Moneda: Soles (S/)</t>
  </si>
  <si>
    <t>Categoría</t>
  </si>
  <si>
    <t>Concepto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</si>
  <si>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</si>
  <si>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</si>
  <si>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</si>
  <si>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</si>
  <si>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</si>
  <si>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</si>
  <si>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</si>
  <si>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</si>
  <si>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</si>
  <si>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</si>
  <si>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</si>
  <si>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</si>
  <si>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</si>
  <si>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</si>
  <si>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</si>
  <si>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</si>
  <si>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</si>
  <si>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</si>
  <si>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</si>
  <si>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</si>
  <si>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Total Semestre</t>
  </si>
  <si>
    <t>Semana del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</si>
  <si>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</si>
  <si>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</si>
  <si>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</si>
  <si>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</si>
  <si>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</si>
  <si>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</si>
  <si>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</si>
  <si>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</si>
  <si>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</si>
  <si>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</si>
  <si>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</si>
  <si>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</si>
  <si>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</si>
  <si>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</si>
  <si>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</si>
  <si>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</si>
  <si>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</si>
  <si>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</si>
  <si>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</si>
  <si>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</si>
  <si>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SALDO INICIAL</t>
  </si>
  <si>
    <t>(+) INGRESOS</t>
  </si>
  <si>
    <t>Total Ingresos</t>
  </si>
  <si>
    <t>(-) EGRESOS</t>
  </si>
  <si>
    <t>Total Egresos</t>
  </si>
  <si>
    <t>FLUJO NETO</t>
  </si>
  <si>
    <t>SALDO FINAL</t>
  </si>
  <si>
    <t>Calendario de Actividades — Semestre 2026-II</t>
  </si>
  <si>
    <t>Del 17/08/2026 al 28/12/2026</t>
  </si>
  <si>
    <t>Fecha</t>
  </si>
  <si>
    <t>Semana</t>
  </si>
  <si>
    <t>Actividad</t>
  </si>
  <si>
    <t>Tipo</t>
  </si>
  <si>
    <t>¿Genera ingreso/egreso?</t>
  </si>
  <si>
    <t>Notas</t>
  </si>
  <si>
    <t>Ej: Bienvenida del semestre</t>
  </si>
  <si>
    <t>Integración</t>
  </si>
  <si>
    <t>Egreso</t>
  </si>
  <si>
    <t>Editar o borrar — fila de ejemplo</t>
  </si>
  <si>
    <t>Supuestos, Fuentes y Leyenda</t>
  </si>
  <si>
    <t>ESTRUCTURA DE SEMANAS</t>
  </si>
  <si>
    <t>Fechas</t>
  </si>
  <si>
    <t>Lun 17/08 — inicio oficial del semestre</t>
  </si>
  <si>
    <t>28/12 — cierre del semestre</t>
  </si>
  <si>
    <t>Agosto</t>
  </si>
  <si>
    <t>S1 a S3</t>
  </si>
  <si>
    <t>3 semana(s) — ver hoja Proyecciones</t>
  </si>
  <si>
    <t>Septiembre</t>
  </si>
  <si>
    <t>S4 a S7</t>
  </si>
  <si>
    <t>4 semana(s) — ver hoja Proyecciones</t>
  </si>
  <si>
    <t>Octubre</t>
  </si>
  <si>
    <t>S8 a S11</t>
  </si>
  <si>
    <t>Noviembre</t>
  </si>
  <si>
    <t>S12 a S16</t>
  </si>
  <si>
    <t>5 semana(s) — ver hoja Proyecciones</t>
  </si>
  <si>
    <t>Diciembre</t>
  </si>
  <si>
    <t>S17 a S20</t>
  </si>
  <si>
    <t>Saldo real al 17/08/2026</t>
  </si>
  <si>
    <t>Se edita directamente en la celda C7 de la hoja 'Flujo de Caja'.</t>
  </si>
  <si>
    <t>CÓMO AGREGAR NUEVOS PROYECTOS DE INGRESOS/EGRESOS</t>
  </si>
  <si>
    <t>1. Ve a la hoja 'Flujo de Caja'. Cada fila en blanco dentro de INGRESOS o EGRESOS es un proyecto/actividad.</t>
  </si>
  <si>
    <t>2. Escribe el nombre del proyecto en la columna 'Concepto' (columna B) y coloca el monto en la semana (S1...S20) donde se recibe o paga.</t>
  </si>
  <si>
    <t>3. Si necesitas más filas de las disponibles, haz clic derecho sobre una fila existente dentro del bloque (Ingresos o Egresos) → 'Insertar' → así el Total se recalcula automáticamente.</t>
  </si>
  <si>
    <t>4. No edites las filas 'Total Ingresos', 'Total Egresos', 'FLUJO NETO' ni 'SALDO FINAL': son fórmulas.</t>
  </si>
  <si>
    <t>5. Actualiza también la hoja 'Calendario Actividades' con la fecha y el tipo de actividad para llevar el registro completo.</t>
  </si>
  <si>
    <t>LEYENDA DE COLORES</t>
  </si>
  <si>
    <t>Texto azul + fondo amarillo claro</t>
  </si>
  <si>
    <t>Celda editable (input) — aquí se escriben montos y nombres de conceptos</t>
  </si>
  <si>
    <t>Fondo verde claro</t>
  </si>
  <si>
    <t>Encabezado / sección de Ingresos</t>
  </si>
  <si>
    <t>Fondo naranja claro</t>
  </si>
  <si>
    <t>Encabezado / sección de Egresos</t>
  </si>
  <si>
    <t>Fondo amarillo oscuro</t>
  </si>
  <si>
    <t>Filas de totales (fórmulas, no editar)</t>
  </si>
  <si>
    <t>Fondo verde oscuro</t>
  </si>
  <si>
    <t>Saldo final (fórmula, no editar)</t>
  </si>
  <si>
    <t>Texto gris cursiva</t>
  </si>
  <si>
    <t>Fila de ejemplo — se puede editar o borrar</t>
  </si>
  <si>
    <t>Proyecciones Financieras — Semestre 2026-II</t>
  </si>
  <si>
    <t>Resumen mensual construido a partir de 'Flujo de Caja'. Se actualiza automáticamente.</t>
  </si>
  <si>
    <t>RESUMEN MENSUAL</t>
  </si>
  <si>
    <t>Mes</t>
  </si>
  <si>
    <t>Semanas</t>
  </si>
  <si>
    <t>Ingresos</t>
  </si>
  <si>
    <t>Egresos</t>
  </si>
  <si>
    <t>Flujo Neto</t>
  </si>
  <si>
    <t>Saldo Final del Mes</t>
  </si>
  <si>
    <t>S1–S3</t>
  </si>
  <si>
    <t>S4–S7</t>
  </si>
  <si>
    <t>S8–S11</t>
  </si>
  <si>
    <t>S12–S16</t>
  </si>
  <si>
    <t>S17–S20</t>
  </si>
  <si>
    <t>ESCENARIOS DE SENSIBILIDAD</t>
  </si>
  <si>
    <t>Variación de Ingresos (%)</t>
  </si>
  <si>
    <t>Variación de Egresos (%)</t>
  </si>
  <si>
    <t>Escenario</t>
  </si>
  <si>
    <t>Saldo Final Proyectado</t>
  </si>
  <si>
    <t>Pesimista</t>
  </si>
  <si>
    <t>Base</t>
  </si>
  <si>
    <t>Optimista</t>
  </si>
  <si>
    <t>Nota: 'Variación' es un supuesto editable (celdas amarillas) para estresar el resultado base del semestre; no reemplaza el detalle semanal de 'Flujo de Caja'.</t>
  </si>
  <si>
    <t>Stand</t>
  </si>
  <si>
    <t>Actividad Pro-Fondos</t>
  </si>
  <si>
    <t>Membresias</t>
  </si>
  <si>
    <t>Cuota única semestral por miembro</t>
  </si>
  <si>
    <t>Rifas</t>
  </si>
  <si>
    <t>Eventos</t>
  </si>
  <si>
    <t>Gastos de logística (dulces)</t>
  </si>
  <si>
    <t>DEUDA</t>
  </si>
  <si>
    <t>heredada del 2026-I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</si>
</sst>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S/ &quot;* #,##0.00_-;[Red]_-&quot;S/ &quot;* \(#,##0.00\)_-;_-&quot;S/ &quot;* \-??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1"/>
      <color rgb="FF595959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641F1F"/>
        <bgColor rgb="FF800000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7" fillId="4" borderId="0" xfId="0" applyNumberFormat="1" applyFont="1" applyFill="1"/>
    <xf numFmtId="164" fontId="8" fillId="0" borderId="0" xfId="0" applyNumberFormat="1" applyFont="1"/>
    <xf numFmtId="0" fontId="6" fillId="5" borderId="0" xfId="0" applyFont="1" applyFill="1"/>
    <xf numFmtId="0" fontId="0" fillId="5" borderId="0" xfId="0" applyFill="1"/>
    <xf numFmtId="0" fontId="9" fillId="6" borderId="0" xfId="0" applyFont="1" applyFill="1"/>
    <xf numFmtId="0" fontId="6" fillId="7" borderId="0" xfId="0" applyFont="1" applyFill="1"/>
    <xf numFmtId="0" fontId="0" fillId="7" borderId="0" xfId="0" applyFill="1"/>
    <xf numFmtId="164" fontId="6" fillId="7" borderId="0" xfId="0" applyNumberFormat="1" applyFont="1" applyFill="1"/>
    <xf numFmtId="0" fontId="6" fillId="8" borderId="0" xfId="0" applyFont="1" applyFill="1"/>
    <xf numFmtId="0" fontId="0" fillId="8" borderId="0" xfId="0" applyFill="1"/>
    <xf numFmtId="164" fontId="8" fillId="7" borderId="0" xfId="0" applyNumberFormat="1" applyFont="1" applyFill="1"/>
    <xf numFmtId="0" fontId="6" fillId="9" borderId="0" xfId="0" applyFont="1" applyFill="1"/>
    <xf numFmtId="0" fontId="0" fillId="9" borderId="0" xfId="0" applyFill="1"/>
    <xf numFmtId="164" fontId="6" fillId="9" borderId="0" xfId="0" applyNumberFormat="1" applyFont="1" applyFill="1"/>
    <xf numFmtId="0" fontId="8" fillId="0" borderId="2" xfId="0" applyFont="1" applyBorder="1"/>
    <xf numFmtId="0" fontId="4" fillId="2" borderId="0" xfId="0" applyFont="1" applyFill="1"/>
    <xf numFmtId="0" fontId="0" fillId="2" borderId="0" xfId="0" applyFill="1"/>
    <xf numFmtId="0" fontId="8" fillId="0" borderId="0" xfId="0" applyFont="1"/>
    <xf numFmtId="164" fontId="7" fillId="0" borderId="0" xfId="0" applyNumberFormat="1" applyFont="1"/>
    <xf numFmtId="0" fontId="4" fillId="3" borderId="0" xfId="0" applyFont="1" applyFill="1" applyAlignment="1">
      <alignment horizontal="center" vertical="center" wrapText="1"/>
    </xf>
    <xf numFmtId="165" fontId="7" fillId="4" borderId="0" xfId="0" applyNumberFormat="1" applyFont="1" applyFill="1"/>
    <xf numFmtId="0" fontId="10" fillId="0" borderId="0" xfId="0" applyFont="1"/>
    <xf numFmtId="0" fontId="10" fillId="6" borderId="0" xfId="0" applyFont="1" applyFill="1"/>
    <xf numFmtId="0" fontId="1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F1F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2CC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Ingresos vs Egresos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Proyecciones!$C$5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Proyecciones!$A$6:$A$10</c:f>
              <c:strCache>
                <c:ptCount val="5"/>
                <c:pt idx="0">
                  <c:v>Agosto</c:v>
                </c:pt>
                <c:pt idx="1">
                  <c:v>Septiembre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</c:strCache>
            </c:strRef>
          </c:cat>
          <c:val>
            <c:numRef>
              <c:f>Proyecciones!$C$6:$C$10</c:f>
              <c:numCache>
                <c:formatCode>_-"S/ "* #,##0.00_-;[Red]_-"S/ "* \(#,##0.00\)_-;_-"S/ "* \-??</c:formatCode>
                <c:ptCount val="5"/>
                <c:pt idx="0">
                  <c:v>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0-4B83-9AA7-18F5192C98BB}"/>
            </c:ext>
          </c:extLst>
        </c:ser>
        <c:ser>
          <c:idx val="1"/>
          <c:order val="1"/>
          <c:tx>
            <c:strRef>
              <c:f>Proyecciones!$D$5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Proyecciones!$A$6:$A$10</c:f>
              <c:strCache>
                <c:ptCount val="5"/>
                <c:pt idx="0">
                  <c:v>Agosto</c:v>
                </c:pt>
                <c:pt idx="1">
                  <c:v>Septiembre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</c:strCache>
            </c:strRef>
          </c:cat>
          <c:val>
            <c:numRef>
              <c:f>Proyecciones!$D$6:$D$10</c:f>
              <c:numCache>
                <c:formatCode>_-"S/ "* #,##0.00_-;[Red]_-"S/ "* \(#,##0.00\)_-;_-"S/ "* \-??</c:formatCode>
                <c:ptCount val="5"/>
                <c:pt idx="0">
                  <c:v>327.5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0-4B83-9AA7-18F5192C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6208"/>
        <c:axId val="78514799"/>
      </c:barChart>
      <c:catAx>
        <c:axId val="6046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8514799"/>
        <c:crosses val="autoZero"/>
        <c:auto val="1"/>
        <c:lblAlgn val="ctr"/>
        <c:lblOffset val="100"/>
        <c:noMultiLvlLbl val="0"/>
      </c:catAx>
      <c:valAx>
        <c:axId val="78514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S/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&quot;S/ &quot;* #,##0.00_-;[Red]_-&quot;S/ &quot;* \(#,##0.00\)_-;_-&quot;S/ &quot;* \-??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46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Saldo Final Proyectado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Proyecciones!$F$5</c:f>
              <c:strCache>
                <c:ptCount val="1"/>
                <c:pt idx="0">
                  <c:v>Saldo Final del Mes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Proyecciones!$A$6:$A$10</c:f>
              <c:strCache>
                <c:ptCount val="5"/>
                <c:pt idx="0">
                  <c:v>Agosto</c:v>
                </c:pt>
                <c:pt idx="1">
                  <c:v>Septiembre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</c:strCache>
            </c:strRef>
          </c:cat>
          <c:val>
            <c:numRef>
              <c:f>Proyecciones!$F$6:$F$10</c:f>
              <c:numCache>
                <c:formatCode>_-"S/ "* #,##0.00_-;[Red]_-"S/ "* \(#,##0.00\)_-;_-"S/ "* \-??</c:formatCode>
                <c:ptCount val="5"/>
                <c:pt idx="0">
                  <c:v>-185.63</c:v>
                </c:pt>
                <c:pt idx="1">
                  <c:v>-185.63</c:v>
                </c:pt>
                <c:pt idx="2">
                  <c:v>-185.63</c:v>
                </c:pt>
                <c:pt idx="3">
                  <c:v>-185.63</c:v>
                </c:pt>
                <c:pt idx="4">
                  <c:v>-185.63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43-41AE-A93F-B63966BF3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813354"/>
        <c:axId val="29936279"/>
      </c:lineChart>
      <c:catAx>
        <c:axId val="768133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9936279"/>
        <c:crosses val="autoZero"/>
        <c:auto val="1"/>
        <c:lblAlgn val="ctr"/>
        <c:lblOffset val="100"/>
        <c:noMultiLvlLbl val="0"/>
      </c:catAx>
      <c:valAx>
        <c:axId val="29936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S/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&quot;S/ &quot;* #,##0.00_-;[Red]_-&quot;S/ &quot;* \(#,##0.00\)_-;_-&quot;S/ &quot;* \-??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6813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126360</xdr:rowOff>
    </xdr:from>
    <xdr:to>
      <xdr:col>5</xdr:col>
      <xdr:colOff>120960</xdr:colOff>
      <xdr:row>36</xdr:row>
      <xdr:rowOff>55080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38</xdr:row>
      <xdr:rowOff>33120</xdr:rowOff>
    </xdr:from>
    <xdr:to>
      <xdr:col>5</xdr:col>
      <xdr:colOff>120960</xdr:colOff>
      <xdr:row>53</xdr:row>
      <xdr:rowOff>55440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lendario" displayName="TablaCalendario" ref="A4:F25" totalsRowShown="0">
  <autoFilter ref="A4:F25" xr:uid="{00000000-0009-0000-0100-000001000000}"/>
  <tableColumns count="6">
    <tableColumn id="1" xr3:uid="{00000000-0010-0000-0000-000001000000}" name="Fecha"/>
    <tableColumn id="2" xr3:uid="{00000000-0010-0000-0000-000002000000}" name="Semana"/>
    <tableColumn id="3" xr3:uid="{00000000-0010-0000-0000-000003000000}" name="Actividad"/>
    <tableColumn id="4" xr3:uid="{00000000-0010-0000-0000-000004000000}" name="Tipo"/>
    <tableColumn id="5" xr3:uid="{00000000-0010-0000-0000-000005000000}" name="¿Genera ingreso/egreso?"/>
    <tableColumn id="6" xr3:uid="{00000000-0010-0000-0000-00000600000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showGridLines="0" tabSelected="1" zoomScaleNormal="100" workbookViewId="0">
      <pane xSplit="2" ySplit="6" topLeftCell="C15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7109375" defaultRowHeight="15" x14ac:dyDescent="0.25"/>
  <cols>
    <col min="1" max="1" width="17.140625" customWidth="1"/>
    <col min="2" max="2" width="34" customWidth="1"/>
    <col min="3" max="22" width="11.28515625" customWidth="1"/>
    <col min="23" max="23" width="13.42578125" customWidth="1"/>
  </cols>
  <sheetData>
    <row r="1" spans="1:23" ht="19.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ht="15" customHeight="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5" customHeight="1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1" t="s">
        <v>3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3" t="s">
        <v>25</v>
      </c>
    </row>
    <row r="6" spans="1:23" ht="15" customHeight="1" x14ac:dyDescent="0.25">
      <c r="A6" s="4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5" t="s">
        <v>45</v>
      </c>
      <c r="V6" s="5" t="s">
        <v>46</v>
      </c>
    </row>
    <row r="7" spans="1:23" ht="15" customHeight="1" x14ac:dyDescent="0.25">
      <c r="A7" s="6" t="s">
        <v>47</v>
      </c>
      <c r="C7" s="7">
        <v>92.87</v>
      </c>
      <c r="D7" s="8">
        <f t="shared" ref="D7:V7" si="0">C45</f>
        <v>-212.63</v>
      </c>
      <c r="E7" s="8">
        <f t="shared" si="0"/>
        <v>-190.63</v>
      </c>
      <c r="F7" s="8">
        <f t="shared" si="0"/>
        <v>-185.63</v>
      </c>
      <c r="G7" s="8">
        <f t="shared" si="0"/>
        <v>-185.63</v>
      </c>
      <c r="H7" s="8">
        <f t="shared" si="0"/>
        <v>-185.63</v>
      </c>
      <c r="I7" s="8">
        <f t="shared" si="0"/>
        <v>-185.63</v>
      </c>
      <c r="J7" s="8">
        <f t="shared" si="0"/>
        <v>-185.63</v>
      </c>
      <c r="K7" s="8">
        <f t="shared" si="0"/>
        <v>-185.63</v>
      </c>
      <c r="L7" s="8">
        <f t="shared" si="0"/>
        <v>-185.63</v>
      </c>
      <c r="M7" s="8">
        <f t="shared" si="0"/>
        <v>-185.63</v>
      </c>
      <c r="N7" s="8">
        <f t="shared" si="0"/>
        <v>-185.63</v>
      </c>
      <c r="O7" s="8">
        <f t="shared" si="0"/>
        <v>-185.63</v>
      </c>
      <c r="P7" s="8">
        <f t="shared" si="0"/>
        <v>-185.63</v>
      </c>
      <c r="Q7" s="8">
        <f t="shared" si="0"/>
        <v>-185.63</v>
      </c>
      <c r="R7" s="8">
        <f t="shared" si="0"/>
        <v>-185.63</v>
      </c>
      <c r="S7" s="8">
        <f t="shared" si="0"/>
        <v>-185.63</v>
      </c>
      <c r="T7" s="8">
        <f t="shared" si="0"/>
        <v>-185.63</v>
      </c>
      <c r="U7" s="8">
        <f t="shared" si="0"/>
        <v>-185.63</v>
      </c>
      <c r="V7" s="8">
        <f t="shared" si="0"/>
        <v>-185.63</v>
      </c>
    </row>
    <row r="8" spans="1:23" ht="15.75" customHeight="1" x14ac:dyDescent="0.25">
      <c r="A8" s="9" t="s">
        <v>48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15.75" customHeight="1" x14ac:dyDescent="0.25">
      <c r="A9" s="28" t="s">
        <v>130</v>
      </c>
      <c r="B9" s="29" t="s">
        <v>131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8">
        <f t="shared" ref="W9:W23" si="1">SUM(C9:V9)</f>
        <v>0</v>
      </c>
    </row>
    <row r="10" spans="1:23" ht="15.75" customHeight="1" x14ac:dyDescent="0.25">
      <c r="A10" t="s">
        <v>128</v>
      </c>
      <c r="B10" t="s">
        <v>129</v>
      </c>
      <c r="C10" s="7"/>
      <c r="D10" s="7">
        <v>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8">
        <f t="shared" si="1"/>
        <v>9</v>
      </c>
    </row>
    <row r="11" spans="1:23" ht="15.75" customHeight="1" x14ac:dyDescent="0.25">
      <c r="A11" t="s">
        <v>132</v>
      </c>
      <c r="B11" t="s">
        <v>133</v>
      </c>
      <c r="C11" s="7"/>
      <c r="D11" s="7">
        <v>35</v>
      </c>
      <c r="E11" s="7">
        <v>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8">
        <f t="shared" si="1"/>
        <v>40</v>
      </c>
    </row>
    <row r="12" spans="1:23" ht="15.75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>
        <f t="shared" si="1"/>
        <v>0</v>
      </c>
    </row>
    <row r="13" spans="1:23" ht="15.75" customHeight="1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>
        <f t="shared" si="1"/>
        <v>0</v>
      </c>
    </row>
    <row r="14" spans="1:23" ht="15.75" customHeight="1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>
        <f t="shared" si="1"/>
        <v>0</v>
      </c>
    </row>
    <row r="15" spans="1:23" ht="15.75" customHeight="1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>
        <f t="shared" si="1"/>
        <v>0</v>
      </c>
    </row>
    <row r="16" spans="1:23" ht="15.75" customHeight="1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>
        <f t="shared" si="1"/>
        <v>0</v>
      </c>
    </row>
    <row r="17" spans="1:23" ht="15.75" customHeight="1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>
        <f t="shared" si="1"/>
        <v>0</v>
      </c>
    </row>
    <row r="18" spans="1:23" ht="15.75" customHeight="1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>
        <f t="shared" si="1"/>
        <v>0</v>
      </c>
    </row>
    <row r="19" spans="1:23" ht="15.75" customHeight="1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>
        <f t="shared" si="1"/>
        <v>0</v>
      </c>
    </row>
    <row r="20" spans="1:23" ht="15.75" customHeight="1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>
        <f t="shared" si="1"/>
        <v>0</v>
      </c>
    </row>
    <row r="21" spans="1:23" ht="15.75" customHeight="1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>
        <f t="shared" si="1"/>
        <v>0</v>
      </c>
    </row>
    <row r="22" spans="1:23" ht="15.75" customHeight="1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8">
        <f t="shared" si="1"/>
        <v>0</v>
      </c>
    </row>
    <row r="23" spans="1:23" ht="15.75" customHeight="1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>
        <f t="shared" si="1"/>
        <v>0</v>
      </c>
    </row>
    <row r="24" spans="1:23" ht="15.75" customHeight="1" x14ac:dyDescent="0.25">
      <c r="A24" s="12" t="s">
        <v>49</v>
      </c>
      <c r="B24" s="13"/>
      <c r="C24" s="14">
        <f t="shared" ref="C24:W24" si="2">SUM(C9:C23)</f>
        <v>0</v>
      </c>
      <c r="D24" s="14">
        <f t="shared" si="2"/>
        <v>44</v>
      </c>
      <c r="E24" s="14">
        <f t="shared" si="2"/>
        <v>5</v>
      </c>
      <c r="F24" s="14">
        <f t="shared" si="2"/>
        <v>0</v>
      </c>
      <c r="G24" s="14">
        <f t="shared" si="2"/>
        <v>0</v>
      </c>
      <c r="H24" s="14">
        <f t="shared" si="2"/>
        <v>0</v>
      </c>
      <c r="I24" s="14">
        <f t="shared" si="2"/>
        <v>0</v>
      </c>
      <c r="J24" s="14">
        <f t="shared" si="2"/>
        <v>0</v>
      </c>
      <c r="K24" s="14">
        <f t="shared" si="2"/>
        <v>0</v>
      </c>
      <c r="L24" s="14">
        <f t="shared" si="2"/>
        <v>0</v>
      </c>
      <c r="M24" s="14">
        <f t="shared" si="2"/>
        <v>0</v>
      </c>
      <c r="N24" s="14">
        <f t="shared" si="2"/>
        <v>0</v>
      </c>
      <c r="O24" s="14">
        <f t="shared" si="2"/>
        <v>0</v>
      </c>
      <c r="P24" s="14">
        <f t="shared" si="2"/>
        <v>0</v>
      </c>
      <c r="Q24" s="14">
        <f t="shared" si="2"/>
        <v>0</v>
      </c>
      <c r="R24" s="14">
        <f t="shared" si="2"/>
        <v>0</v>
      </c>
      <c r="S24" s="14">
        <f t="shared" si="2"/>
        <v>0</v>
      </c>
      <c r="T24" s="14">
        <f t="shared" si="2"/>
        <v>0</v>
      </c>
      <c r="U24" s="14">
        <f t="shared" si="2"/>
        <v>0</v>
      </c>
      <c r="V24" s="14">
        <f t="shared" si="2"/>
        <v>0</v>
      </c>
      <c r="W24" s="14">
        <f t="shared" si="2"/>
        <v>49</v>
      </c>
    </row>
    <row r="25" spans="1:23" ht="15.75" customHeight="1" x14ac:dyDescent="0.25"/>
    <row r="26" spans="1:23" ht="15.75" customHeight="1" x14ac:dyDescent="0.25">
      <c r="A26" s="15" t="s">
        <v>50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.75" customHeight="1" x14ac:dyDescent="0.25">
      <c r="A27" s="30" t="s">
        <v>135</v>
      </c>
      <c r="B27" s="11" t="s">
        <v>136</v>
      </c>
      <c r="C27" s="7">
        <v>305.5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>
        <f t="shared" ref="W27:W41" si="3">SUM(C27:V27)</f>
        <v>305.5</v>
      </c>
    </row>
    <row r="28" spans="1:23" ht="15.75" customHeight="1" x14ac:dyDescent="0.25">
      <c r="A28" t="s">
        <v>128</v>
      </c>
      <c r="B28" t="s">
        <v>134</v>
      </c>
      <c r="C28" s="7"/>
      <c r="D28" s="7">
        <v>22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>
        <f t="shared" si="3"/>
        <v>22</v>
      </c>
    </row>
    <row r="29" spans="1:23" ht="15.75" customHeight="1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8">
        <f t="shared" si="3"/>
        <v>0</v>
      </c>
    </row>
    <row r="30" spans="1:23" ht="15.75" customHeight="1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>
        <f t="shared" si="3"/>
        <v>0</v>
      </c>
    </row>
    <row r="31" spans="1:23" ht="15.75" customHeight="1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>
        <f t="shared" si="3"/>
        <v>0</v>
      </c>
    </row>
    <row r="32" spans="1:23" ht="15.75" customHeight="1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>
        <f t="shared" si="3"/>
        <v>0</v>
      </c>
    </row>
    <row r="33" spans="1:23" ht="15.75" customHeight="1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>
        <f t="shared" si="3"/>
        <v>0</v>
      </c>
    </row>
    <row r="34" spans="1:23" ht="15.75" customHeight="1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>
        <f t="shared" si="3"/>
        <v>0</v>
      </c>
    </row>
    <row r="35" spans="1:23" ht="15.7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8">
        <f t="shared" si="3"/>
        <v>0</v>
      </c>
    </row>
    <row r="36" spans="1:23" ht="15.75" customHeight="1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>
        <f t="shared" si="3"/>
        <v>0</v>
      </c>
    </row>
    <row r="37" spans="1:23" ht="15.75" customHeight="1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8">
        <f t="shared" si="3"/>
        <v>0</v>
      </c>
    </row>
    <row r="38" spans="1:23" ht="15.75" customHeight="1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8">
        <f t="shared" si="3"/>
        <v>0</v>
      </c>
    </row>
    <row r="39" spans="1:23" ht="15.75" customHeight="1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8">
        <f t="shared" si="3"/>
        <v>0</v>
      </c>
    </row>
    <row r="40" spans="1:23" ht="15.75" customHeight="1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>
        <f t="shared" si="3"/>
        <v>0</v>
      </c>
    </row>
    <row r="41" spans="1:23" ht="15.75" customHeight="1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8">
        <f t="shared" si="3"/>
        <v>0</v>
      </c>
    </row>
    <row r="42" spans="1:23" ht="15.75" customHeight="1" x14ac:dyDescent="0.25">
      <c r="A42" s="12" t="s">
        <v>51</v>
      </c>
      <c r="B42" s="13"/>
      <c r="C42" s="14">
        <f t="shared" ref="C42:W42" si="4">SUM(C27:C41)</f>
        <v>305.5</v>
      </c>
      <c r="D42" s="14">
        <f t="shared" si="4"/>
        <v>22</v>
      </c>
      <c r="E42" s="14">
        <f t="shared" si="4"/>
        <v>0</v>
      </c>
      <c r="F42" s="14">
        <f t="shared" si="4"/>
        <v>0</v>
      </c>
      <c r="G42" s="14">
        <f t="shared" si="4"/>
        <v>0</v>
      </c>
      <c r="H42" s="14">
        <f t="shared" si="4"/>
        <v>0</v>
      </c>
      <c r="I42" s="14">
        <f t="shared" si="4"/>
        <v>0</v>
      </c>
      <c r="J42" s="14">
        <f t="shared" si="4"/>
        <v>0</v>
      </c>
      <c r="K42" s="14">
        <f t="shared" si="4"/>
        <v>0</v>
      </c>
      <c r="L42" s="14">
        <f t="shared" si="4"/>
        <v>0</v>
      </c>
      <c r="M42" s="14">
        <f t="shared" si="4"/>
        <v>0</v>
      </c>
      <c r="N42" s="14">
        <f t="shared" si="4"/>
        <v>0</v>
      </c>
      <c r="O42" s="14">
        <f t="shared" si="4"/>
        <v>0</v>
      </c>
      <c r="P42" s="14">
        <f t="shared" si="4"/>
        <v>0</v>
      </c>
      <c r="Q42" s="14">
        <f t="shared" si="4"/>
        <v>0</v>
      </c>
      <c r="R42" s="14">
        <f t="shared" si="4"/>
        <v>0</v>
      </c>
      <c r="S42" s="14">
        <f t="shared" si="4"/>
        <v>0</v>
      </c>
      <c r="T42" s="14">
        <f t="shared" si="4"/>
        <v>0</v>
      </c>
      <c r="U42" s="14">
        <f t="shared" si="4"/>
        <v>0</v>
      </c>
      <c r="V42" s="14">
        <f t="shared" si="4"/>
        <v>0</v>
      </c>
      <c r="W42" s="14">
        <f t="shared" si="4"/>
        <v>327.5</v>
      </c>
    </row>
    <row r="43" spans="1:23" ht="15.75" customHeight="1" x14ac:dyDescent="0.25"/>
    <row r="44" spans="1:23" ht="15.75" customHeight="1" x14ac:dyDescent="0.25">
      <c r="A44" s="12" t="s">
        <v>52</v>
      </c>
      <c r="B44" s="13"/>
      <c r="C44" s="17">
        <f t="shared" ref="C44:W44" si="5">C24-C42</f>
        <v>-305.5</v>
      </c>
      <c r="D44" s="17">
        <f t="shared" si="5"/>
        <v>22</v>
      </c>
      <c r="E44" s="17">
        <f t="shared" si="5"/>
        <v>5</v>
      </c>
      <c r="F44" s="17">
        <f t="shared" si="5"/>
        <v>0</v>
      </c>
      <c r="G44" s="17">
        <f t="shared" si="5"/>
        <v>0</v>
      </c>
      <c r="H44" s="17">
        <f t="shared" si="5"/>
        <v>0</v>
      </c>
      <c r="I44" s="17">
        <f t="shared" si="5"/>
        <v>0</v>
      </c>
      <c r="J44" s="17">
        <f t="shared" si="5"/>
        <v>0</v>
      </c>
      <c r="K44" s="17">
        <f t="shared" si="5"/>
        <v>0</v>
      </c>
      <c r="L44" s="17">
        <f t="shared" si="5"/>
        <v>0</v>
      </c>
      <c r="M44" s="17">
        <f t="shared" si="5"/>
        <v>0</v>
      </c>
      <c r="N44" s="17">
        <f t="shared" si="5"/>
        <v>0</v>
      </c>
      <c r="O44" s="17">
        <f t="shared" si="5"/>
        <v>0</v>
      </c>
      <c r="P44" s="17">
        <f t="shared" si="5"/>
        <v>0</v>
      </c>
      <c r="Q44" s="17">
        <f t="shared" si="5"/>
        <v>0</v>
      </c>
      <c r="R44" s="17">
        <f t="shared" si="5"/>
        <v>0</v>
      </c>
      <c r="S44" s="17">
        <f t="shared" si="5"/>
        <v>0</v>
      </c>
      <c r="T44" s="17">
        <f t="shared" si="5"/>
        <v>0</v>
      </c>
      <c r="U44" s="17">
        <f t="shared" si="5"/>
        <v>0</v>
      </c>
      <c r="V44" s="17">
        <f t="shared" si="5"/>
        <v>0</v>
      </c>
      <c r="W44" s="17">
        <f t="shared" si="5"/>
        <v>-278.5</v>
      </c>
    </row>
    <row r="45" spans="1:23" ht="15.75" customHeight="1" x14ac:dyDescent="0.25">
      <c r="A45" s="18" t="s">
        <v>53</v>
      </c>
      <c r="B45" s="19"/>
      <c r="C45" s="20">
        <f t="shared" ref="C45:V45" si="6">C7+C44</f>
        <v>-212.63</v>
      </c>
      <c r="D45" s="20">
        <f t="shared" si="6"/>
        <v>-190.63</v>
      </c>
      <c r="E45" s="20">
        <f t="shared" si="6"/>
        <v>-185.63</v>
      </c>
      <c r="F45" s="20">
        <f t="shared" si="6"/>
        <v>-185.63</v>
      </c>
      <c r="G45" s="20">
        <f t="shared" si="6"/>
        <v>-185.63</v>
      </c>
      <c r="H45" s="20">
        <f t="shared" si="6"/>
        <v>-185.63</v>
      </c>
      <c r="I45" s="20">
        <f t="shared" si="6"/>
        <v>-185.63</v>
      </c>
      <c r="J45" s="20">
        <f t="shared" si="6"/>
        <v>-185.63</v>
      </c>
      <c r="K45" s="20">
        <f t="shared" si="6"/>
        <v>-185.63</v>
      </c>
      <c r="L45" s="20">
        <f t="shared" si="6"/>
        <v>-185.63</v>
      </c>
      <c r="M45" s="20">
        <f t="shared" si="6"/>
        <v>-185.63</v>
      </c>
      <c r="N45" s="20">
        <f t="shared" si="6"/>
        <v>-185.63</v>
      </c>
      <c r="O45" s="20">
        <f t="shared" si="6"/>
        <v>-185.63</v>
      </c>
      <c r="P45" s="20">
        <f t="shared" si="6"/>
        <v>-185.63</v>
      </c>
      <c r="Q45" s="20">
        <f t="shared" si="6"/>
        <v>-185.63</v>
      </c>
      <c r="R45" s="20">
        <f t="shared" si="6"/>
        <v>-185.63</v>
      </c>
      <c r="S45" s="20">
        <f t="shared" si="6"/>
        <v>-185.63</v>
      </c>
      <c r="T45" s="20">
        <f t="shared" si="6"/>
        <v>-185.63</v>
      </c>
      <c r="U45" s="20">
        <f t="shared" si="6"/>
        <v>-185.63</v>
      </c>
      <c r="V45" s="20">
        <f t="shared" si="6"/>
        <v>-185.63</v>
      </c>
      <c r="W45" s="20">
        <f>V45</f>
        <v>-185.63</v>
      </c>
    </row>
  </sheetData>
  <mergeCells count="3">
    <mergeCell ref="A1:W1"/>
    <mergeCell ref="A2:W2"/>
    <mergeCell ref="A3:W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2" width="9" customWidth="1"/>
    <col min="3" max="3" width="34" customWidth="1"/>
    <col min="4" max="4" width="16" customWidth="1"/>
    <col min="5" max="5" width="14" customWidth="1"/>
    <col min="6" max="6" width="55" customWidth="1"/>
  </cols>
  <sheetData>
    <row r="1" spans="1:6" ht="18" x14ac:dyDescent="0.25">
      <c r="A1" s="31" t="s">
        <v>54</v>
      </c>
      <c r="B1" s="31"/>
      <c r="C1" s="31"/>
      <c r="D1" s="31"/>
      <c r="E1" s="31"/>
      <c r="F1" s="31"/>
    </row>
    <row r="2" spans="1:6" x14ac:dyDescent="0.25">
      <c r="A2" s="32" t="s">
        <v>55</v>
      </c>
      <c r="B2" s="32"/>
      <c r="C2" s="32"/>
      <c r="D2" s="32"/>
      <c r="E2" s="32"/>
      <c r="F2" s="32"/>
    </row>
    <row r="4" spans="1:6" x14ac:dyDescent="0.25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</row>
    <row r="5" spans="1:6" x14ac:dyDescent="0.25">
      <c r="A5" s="11" t="s">
        <v>27</v>
      </c>
      <c r="B5" s="11" t="s">
        <v>5</v>
      </c>
      <c r="C5" s="11" t="s">
        <v>62</v>
      </c>
      <c r="D5" s="11" t="s">
        <v>63</v>
      </c>
      <c r="E5" s="11" t="s">
        <v>64</v>
      </c>
      <c r="F5" s="11" t="s">
        <v>65</v>
      </c>
    </row>
    <row r="6" spans="1:6" x14ac:dyDescent="0.25">
      <c r="A6" s="21" t="s">
        <v>27</v>
      </c>
      <c r="B6" s="21" t="s">
        <v>5</v>
      </c>
      <c r="C6" s="21"/>
      <c r="D6" s="21"/>
      <c r="E6" s="21"/>
      <c r="F6" s="21"/>
    </row>
    <row r="7" spans="1:6" x14ac:dyDescent="0.25">
      <c r="A7" s="21" t="s">
        <v>28</v>
      </c>
      <c r="B7" s="21" t="s">
        <v>6</v>
      </c>
      <c r="C7" s="21"/>
      <c r="D7" s="21"/>
      <c r="E7" s="21"/>
      <c r="F7" s="21"/>
    </row>
    <row r="8" spans="1:6" x14ac:dyDescent="0.25">
      <c r="A8" s="21" t="s">
        <v>29</v>
      </c>
      <c r="B8" s="21" t="s">
        <v>7</v>
      </c>
      <c r="C8" s="21"/>
      <c r="D8" s="21"/>
      <c r="E8" s="21"/>
      <c r="F8" s="21"/>
    </row>
    <row r="9" spans="1:6" x14ac:dyDescent="0.25">
      <c r="A9" s="21" t="s">
        <v>30</v>
      </c>
      <c r="B9" s="21" t="s">
        <v>8</v>
      </c>
      <c r="C9" s="21"/>
      <c r="D9" s="21"/>
      <c r="E9" s="21"/>
      <c r="F9" s="21"/>
    </row>
    <row r="10" spans="1:6" x14ac:dyDescent="0.25">
      <c r="A10" s="21" t="s">
        <v>31</v>
      </c>
      <c r="B10" s="21" t="s">
        <v>9</v>
      </c>
      <c r="C10" s="21"/>
      <c r="D10" s="21"/>
      <c r="E10" s="21"/>
      <c r="F10" s="21"/>
    </row>
    <row r="11" spans="1:6" x14ac:dyDescent="0.25">
      <c r="A11" s="21" t="s">
        <v>32</v>
      </c>
      <c r="B11" s="21" t="s">
        <v>10</v>
      </c>
      <c r="C11" s="21"/>
      <c r="D11" s="21"/>
      <c r="E11" s="21"/>
      <c r="F11" s="21"/>
    </row>
    <row r="12" spans="1:6" x14ac:dyDescent="0.25">
      <c r="A12" s="21" t="s">
        <v>33</v>
      </c>
      <c r="B12" s="21" t="s">
        <v>11</v>
      </c>
      <c r="C12" s="21"/>
      <c r="D12" s="21"/>
      <c r="E12" s="21"/>
      <c r="F12" s="21"/>
    </row>
    <row r="13" spans="1:6" x14ac:dyDescent="0.25">
      <c r="A13" s="21" t="s">
        <v>34</v>
      </c>
      <c r="B13" s="21" t="s">
        <v>12</v>
      </c>
      <c r="C13" s="21"/>
      <c r="D13" s="21"/>
      <c r="E13" s="21"/>
      <c r="F13" s="21"/>
    </row>
    <row r="14" spans="1:6" x14ac:dyDescent="0.25">
      <c r="A14" s="21" t="s">
        <v>35</v>
      </c>
      <c r="B14" s="21" t="s">
        <v>13</v>
      </c>
      <c r="C14" s="21"/>
      <c r="D14" s="21"/>
      <c r="E14" s="21"/>
      <c r="F14" s="21"/>
    </row>
    <row r="15" spans="1:6" x14ac:dyDescent="0.25">
      <c r="A15" s="21" t="s">
        <v>36</v>
      </c>
      <c r="B15" s="21" t="s">
        <v>14</v>
      </c>
      <c r="C15" s="21"/>
      <c r="D15" s="21"/>
      <c r="E15" s="21"/>
      <c r="F15" s="21"/>
    </row>
    <row r="16" spans="1:6" x14ac:dyDescent="0.25">
      <c r="A16" s="21" t="s">
        <v>37</v>
      </c>
      <c r="B16" s="21" t="s">
        <v>15</v>
      </c>
      <c r="C16" s="21"/>
      <c r="D16" s="21"/>
      <c r="E16" s="21"/>
      <c r="F16" s="21"/>
    </row>
    <row r="17" spans="1:6" x14ac:dyDescent="0.25">
      <c r="A17" s="21" t="s">
        <v>38</v>
      </c>
      <c r="B17" s="21" t="s">
        <v>16</v>
      </c>
      <c r="C17" s="21"/>
      <c r="D17" s="21"/>
      <c r="E17" s="21"/>
      <c r="F17" s="21"/>
    </row>
    <row r="18" spans="1:6" x14ac:dyDescent="0.25">
      <c r="A18" s="21" t="s">
        <v>39</v>
      </c>
      <c r="B18" s="21" t="s">
        <v>17</v>
      </c>
      <c r="C18" s="21"/>
      <c r="D18" s="21"/>
      <c r="E18" s="21"/>
      <c r="F18" s="21"/>
    </row>
    <row r="19" spans="1:6" x14ac:dyDescent="0.25">
      <c r="A19" s="21" t="s">
        <v>40</v>
      </c>
      <c r="B19" s="21" t="s">
        <v>18</v>
      </c>
      <c r="C19" s="21"/>
      <c r="D19" s="21"/>
      <c r="E19" s="21"/>
      <c r="F19" s="21"/>
    </row>
    <row r="20" spans="1:6" x14ac:dyDescent="0.25">
      <c r="A20" s="21" t="s">
        <v>41</v>
      </c>
      <c r="B20" s="21" t="s">
        <v>19</v>
      </c>
      <c r="C20" s="21"/>
      <c r="D20" s="21"/>
      <c r="E20" s="21"/>
      <c r="F20" s="21"/>
    </row>
    <row r="21" spans="1:6" x14ac:dyDescent="0.25">
      <c r="A21" s="21" t="s">
        <v>42</v>
      </c>
      <c r="B21" s="21" t="s">
        <v>20</v>
      </c>
      <c r="C21" s="21"/>
      <c r="D21" s="21"/>
      <c r="E21" s="21"/>
      <c r="F21" s="21"/>
    </row>
    <row r="22" spans="1:6" x14ac:dyDescent="0.25">
      <c r="A22" s="21" t="s">
        <v>43</v>
      </c>
      <c r="B22" s="21" t="s">
        <v>21</v>
      </c>
      <c r="C22" s="21"/>
      <c r="D22" s="21"/>
      <c r="E22" s="21"/>
      <c r="F22" s="21"/>
    </row>
    <row r="23" spans="1:6" x14ac:dyDescent="0.25">
      <c r="A23" s="21" t="s">
        <v>44</v>
      </c>
      <c r="B23" s="21" t="s">
        <v>22</v>
      </c>
      <c r="C23" s="21"/>
      <c r="D23" s="21"/>
      <c r="E23" s="21"/>
      <c r="F23" s="21"/>
    </row>
    <row r="24" spans="1:6" x14ac:dyDescent="0.25">
      <c r="A24" s="21" t="s">
        <v>45</v>
      </c>
      <c r="B24" s="21" t="s">
        <v>23</v>
      </c>
      <c r="C24" s="21"/>
      <c r="D24" s="21"/>
      <c r="E24" s="21"/>
      <c r="F24" s="21"/>
    </row>
    <row r="25" spans="1:6" x14ac:dyDescent="0.25">
      <c r="A25" s="21" t="s">
        <v>46</v>
      </c>
      <c r="B25" s="21" t="s">
        <v>24</v>
      </c>
      <c r="C25" s="21"/>
      <c r="D25" s="21"/>
      <c r="E25" s="21"/>
      <c r="F25" s="21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zoomScaleNormal="100" workbookViewId="0"/>
  </sheetViews>
  <sheetFormatPr baseColWidth="10" defaultColWidth="8.7109375" defaultRowHeight="15" x14ac:dyDescent="0.25"/>
  <cols>
    <col min="1" max="1" width="32" customWidth="1"/>
    <col min="2" max="2" width="24" customWidth="1"/>
    <col min="3" max="3" width="60" customWidth="1"/>
  </cols>
  <sheetData>
    <row r="1" spans="1:3" ht="18" x14ac:dyDescent="0.25">
      <c r="A1" s="31" t="s">
        <v>66</v>
      </c>
      <c r="B1" s="31"/>
      <c r="C1" s="31"/>
    </row>
    <row r="3" spans="1:3" x14ac:dyDescent="0.25">
      <c r="A3" s="22" t="s">
        <v>67</v>
      </c>
      <c r="B3" s="23"/>
      <c r="C3" s="23"/>
    </row>
    <row r="4" spans="1:3" x14ac:dyDescent="0.25">
      <c r="A4" s="6" t="s">
        <v>57</v>
      </c>
      <c r="B4" s="6" t="s">
        <v>68</v>
      </c>
      <c r="C4" s="6" t="s">
        <v>61</v>
      </c>
    </row>
    <row r="5" spans="1:3" x14ac:dyDescent="0.25">
      <c r="A5" s="24" t="s">
        <v>5</v>
      </c>
      <c r="B5" s="24" t="s">
        <v>69</v>
      </c>
    </row>
    <row r="6" spans="1:3" x14ac:dyDescent="0.25">
      <c r="A6" s="24" t="s">
        <v>24</v>
      </c>
      <c r="B6" s="24" t="s">
        <v>70</v>
      </c>
    </row>
    <row r="7" spans="1:3" x14ac:dyDescent="0.25">
      <c r="A7" s="24" t="s">
        <v>71</v>
      </c>
      <c r="B7" s="24" t="s">
        <v>72</v>
      </c>
      <c r="C7" s="24" t="s">
        <v>73</v>
      </c>
    </row>
    <row r="8" spans="1:3" x14ac:dyDescent="0.25">
      <c r="A8" s="24" t="s">
        <v>74</v>
      </c>
      <c r="B8" s="24" t="s">
        <v>75</v>
      </c>
      <c r="C8" s="24" t="s">
        <v>76</v>
      </c>
    </row>
    <row r="9" spans="1:3" x14ac:dyDescent="0.25">
      <c r="A9" s="24" t="s">
        <v>77</v>
      </c>
      <c r="B9" s="24" t="s">
        <v>78</v>
      </c>
      <c r="C9" s="24" t="s">
        <v>76</v>
      </c>
    </row>
    <row r="10" spans="1:3" x14ac:dyDescent="0.25">
      <c r="A10" s="24" t="s">
        <v>79</v>
      </c>
      <c r="B10" s="24" t="s">
        <v>80</v>
      </c>
      <c r="C10" s="24" t="s">
        <v>81</v>
      </c>
    </row>
    <row r="11" spans="1:3" x14ac:dyDescent="0.25">
      <c r="A11" s="24" t="s">
        <v>82</v>
      </c>
      <c r="B11" s="24" t="s">
        <v>83</v>
      </c>
      <c r="C11" s="24" t="s">
        <v>76</v>
      </c>
    </row>
    <row r="13" spans="1:3" x14ac:dyDescent="0.25">
      <c r="A13" s="22" t="s">
        <v>47</v>
      </c>
      <c r="B13" s="23"/>
      <c r="C13" s="23"/>
    </row>
    <row r="14" spans="1:3" x14ac:dyDescent="0.25">
      <c r="A14" s="24" t="s">
        <v>84</v>
      </c>
      <c r="B14" s="25">
        <f>'Flujo de Caja'!C7</f>
        <v>92.87</v>
      </c>
      <c r="C14" s="24" t="s">
        <v>85</v>
      </c>
    </row>
    <row r="16" spans="1:3" x14ac:dyDescent="0.25">
      <c r="A16" s="22" t="s">
        <v>86</v>
      </c>
      <c r="B16" s="23"/>
      <c r="C16" s="23"/>
    </row>
    <row r="17" spans="1:3" ht="15" customHeight="1" x14ac:dyDescent="0.25">
      <c r="A17" s="34" t="s">
        <v>87</v>
      </c>
      <c r="B17" s="34"/>
      <c r="C17" s="34"/>
    </row>
    <row r="18" spans="1:3" ht="15" customHeight="1" x14ac:dyDescent="0.25">
      <c r="A18" s="34" t="s">
        <v>88</v>
      </c>
      <c r="B18" s="34"/>
      <c r="C18" s="34"/>
    </row>
    <row r="19" spans="1:3" ht="23.85" customHeight="1" x14ac:dyDescent="0.25">
      <c r="A19" s="34" t="s">
        <v>89</v>
      </c>
      <c r="B19" s="34"/>
      <c r="C19" s="34"/>
    </row>
    <row r="20" spans="1:3" ht="15" customHeight="1" x14ac:dyDescent="0.25">
      <c r="A20" s="34" t="s">
        <v>90</v>
      </c>
      <c r="B20" s="34"/>
      <c r="C20" s="34"/>
    </row>
    <row r="21" spans="1:3" ht="15" customHeight="1" x14ac:dyDescent="0.25">
      <c r="A21" s="34" t="s">
        <v>91</v>
      </c>
      <c r="B21" s="34"/>
      <c r="C21" s="34"/>
    </row>
    <row r="23" spans="1:3" x14ac:dyDescent="0.25">
      <c r="A23" s="22" t="s">
        <v>92</v>
      </c>
      <c r="B23" s="23"/>
      <c r="C23" s="23"/>
    </row>
    <row r="24" spans="1:3" ht="15" customHeight="1" x14ac:dyDescent="0.25">
      <c r="A24" s="24" t="s">
        <v>93</v>
      </c>
      <c r="B24" s="34" t="s">
        <v>94</v>
      </c>
      <c r="C24" s="34"/>
    </row>
    <row r="25" spans="1:3" ht="15" customHeight="1" x14ac:dyDescent="0.25">
      <c r="A25" s="24" t="s">
        <v>95</v>
      </c>
      <c r="B25" s="34" t="s">
        <v>96</v>
      </c>
      <c r="C25" s="34"/>
    </row>
    <row r="26" spans="1:3" ht="15" customHeight="1" x14ac:dyDescent="0.25">
      <c r="A26" s="24" t="s">
        <v>97</v>
      </c>
      <c r="B26" s="34" t="s">
        <v>98</v>
      </c>
      <c r="C26" s="34"/>
    </row>
    <row r="27" spans="1:3" ht="15" customHeight="1" x14ac:dyDescent="0.25">
      <c r="A27" s="24" t="s">
        <v>99</v>
      </c>
      <c r="B27" s="34" t="s">
        <v>100</v>
      </c>
      <c r="C27" s="34"/>
    </row>
    <row r="28" spans="1:3" ht="15" customHeight="1" x14ac:dyDescent="0.25">
      <c r="A28" s="24" t="s">
        <v>101</v>
      </c>
      <c r="B28" s="34" t="s">
        <v>102</v>
      </c>
      <c r="C28" s="34"/>
    </row>
    <row r="29" spans="1:3" ht="15" customHeight="1" x14ac:dyDescent="0.25">
      <c r="A29" s="24" t="s">
        <v>103</v>
      </c>
      <c r="B29" s="34" t="s">
        <v>104</v>
      </c>
      <c r="C29" s="34"/>
    </row>
  </sheetData>
  <mergeCells count="12">
    <mergeCell ref="A1:C1"/>
    <mergeCell ref="A17:C17"/>
    <mergeCell ref="A18:C18"/>
    <mergeCell ref="A19:C19"/>
    <mergeCell ref="A20:C20"/>
    <mergeCell ref="B28:C28"/>
    <mergeCell ref="B29:C29"/>
    <mergeCell ref="A21:C21"/>
    <mergeCell ref="B24:C24"/>
    <mergeCell ref="B25:C25"/>
    <mergeCell ref="B26:C26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zoomScaleNormal="100" workbookViewId="0"/>
  </sheetViews>
  <sheetFormatPr baseColWidth="10" defaultColWidth="8.7109375" defaultRowHeight="15" x14ac:dyDescent="0.25"/>
  <cols>
    <col min="1" max="6" width="16" customWidth="1"/>
  </cols>
  <sheetData>
    <row r="1" spans="1:6" ht="18" x14ac:dyDescent="0.25">
      <c r="A1" s="31" t="s">
        <v>105</v>
      </c>
      <c r="B1" s="31"/>
      <c r="C1" s="31"/>
      <c r="D1" s="31"/>
      <c r="E1" s="31"/>
      <c r="F1" s="31"/>
    </row>
    <row r="2" spans="1:6" x14ac:dyDescent="0.25">
      <c r="A2" s="32" t="s">
        <v>106</v>
      </c>
      <c r="B2" s="32"/>
      <c r="C2" s="32"/>
      <c r="D2" s="32"/>
      <c r="E2" s="32"/>
      <c r="F2" s="32"/>
    </row>
    <row r="4" spans="1:6" x14ac:dyDescent="0.25">
      <c r="A4" s="22" t="s">
        <v>107</v>
      </c>
      <c r="B4" s="23"/>
      <c r="C4" s="23"/>
      <c r="D4" s="23"/>
      <c r="E4" s="23"/>
      <c r="F4" s="23"/>
    </row>
    <row r="5" spans="1:6" ht="25.5" x14ac:dyDescent="0.25">
      <c r="A5" s="26" t="s">
        <v>108</v>
      </c>
      <c r="B5" s="26" t="s">
        <v>109</v>
      </c>
      <c r="C5" s="26" t="s">
        <v>110</v>
      </c>
      <c r="D5" s="26" t="s">
        <v>111</v>
      </c>
      <c r="E5" s="26" t="s">
        <v>112</v>
      </c>
      <c r="F5" s="26" t="s">
        <v>113</v>
      </c>
    </row>
    <row r="6" spans="1:6" x14ac:dyDescent="0.25">
      <c r="A6" s="24" t="s">
        <v>71</v>
      </c>
      <c r="B6" s="24" t="s">
        <v>114</v>
      </c>
      <c r="C6" s="8">
        <f>SUM('Flujo de Caja'!C24:E24)</f>
        <v>49</v>
      </c>
      <c r="D6" s="8">
        <f>SUM('Flujo de Caja'!C42:E42)</f>
        <v>327.5</v>
      </c>
      <c r="E6" s="8">
        <f>C6-D6</f>
        <v>-278.5</v>
      </c>
      <c r="F6" s="8">
        <f>'Flujo de Caja'!E45</f>
        <v>-185.63</v>
      </c>
    </row>
    <row r="7" spans="1:6" x14ac:dyDescent="0.25">
      <c r="A7" s="24" t="s">
        <v>74</v>
      </c>
      <c r="B7" s="24" t="s">
        <v>115</v>
      </c>
      <c r="C7" s="8">
        <f>SUM('Flujo de Caja'!F24:I24)</f>
        <v>0</v>
      </c>
      <c r="D7" s="8">
        <f>SUM('Flujo de Caja'!F42:I42)</f>
        <v>0</v>
      </c>
      <c r="E7" s="8">
        <f>C7-D7</f>
        <v>0</v>
      </c>
      <c r="F7" s="8">
        <f>'Flujo de Caja'!I45</f>
        <v>-185.63</v>
      </c>
    </row>
    <row r="8" spans="1:6" x14ac:dyDescent="0.25">
      <c r="A8" s="24" t="s">
        <v>77</v>
      </c>
      <c r="B8" s="24" t="s">
        <v>116</v>
      </c>
      <c r="C8" s="8">
        <f>SUM('Flujo de Caja'!J24:M24)</f>
        <v>0</v>
      </c>
      <c r="D8" s="8">
        <f>SUM('Flujo de Caja'!J42:M42)</f>
        <v>0</v>
      </c>
      <c r="E8" s="8">
        <f>C8-D8</f>
        <v>0</v>
      </c>
      <c r="F8" s="8">
        <f>'Flujo de Caja'!M45</f>
        <v>-185.63</v>
      </c>
    </row>
    <row r="9" spans="1:6" x14ac:dyDescent="0.25">
      <c r="A9" s="24" t="s">
        <v>79</v>
      </c>
      <c r="B9" s="24" t="s">
        <v>117</v>
      </c>
      <c r="C9" s="8">
        <f>SUM('Flujo de Caja'!N24:R24)</f>
        <v>0</v>
      </c>
      <c r="D9" s="8">
        <f>SUM('Flujo de Caja'!N42:R42)</f>
        <v>0</v>
      </c>
      <c r="E9" s="8">
        <f>C9-D9</f>
        <v>0</v>
      </c>
      <c r="F9" s="8">
        <f>'Flujo de Caja'!R45</f>
        <v>-185.63</v>
      </c>
    </row>
    <row r="10" spans="1:6" x14ac:dyDescent="0.25">
      <c r="A10" s="24" t="s">
        <v>82</v>
      </c>
      <c r="B10" s="24" t="s">
        <v>118</v>
      </c>
      <c r="C10" s="8">
        <f>SUM('Flujo de Caja'!S24:V24)</f>
        <v>0</v>
      </c>
      <c r="D10" s="8">
        <f>SUM('Flujo de Caja'!S42:V42)</f>
        <v>0</v>
      </c>
      <c r="E10" s="8">
        <f>C10-D10</f>
        <v>0</v>
      </c>
      <c r="F10" s="8">
        <f>'Flujo de Caja'!V45</f>
        <v>-185.63</v>
      </c>
    </row>
    <row r="11" spans="1:6" x14ac:dyDescent="0.25">
      <c r="A11" s="12" t="s">
        <v>25</v>
      </c>
      <c r="B11" s="13"/>
      <c r="C11" s="14">
        <f>SUM(C6:C10)</f>
        <v>49</v>
      </c>
      <c r="D11" s="14">
        <f>SUM(D6:D10)</f>
        <v>327.5</v>
      </c>
      <c r="E11" s="14">
        <f>SUM(E6:E10)</f>
        <v>-278.5</v>
      </c>
      <c r="F11" s="14">
        <f>F10</f>
        <v>-185.63</v>
      </c>
    </row>
    <row r="13" spans="1:6" x14ac:dyDescent="0.25">
      <c r="A13" s="22" t="s">
        <v>119</v>
      </c>
      <c r="B13" s="23"/>
      <c r="C13" s="23"/>
      <c r="D13" s="23"/>
      <c r="E13" s="23"/>
      <c r="F13" s="23"/>
    </row>
    <row r="14" spans="1:6" x14ac:dyDescent="0.25">
      <c r="A14" s="24" t="s">
        <v>120</v>
      </c>
      <c r="B14" s="27">
        <v>0.15</v>
      </c>
    </row>
    <row r="15" spans="1:6" x14ac:dyDescent="0.25">
      <c r="A15" s="24" t="s">
        <v>121</v>
      </c>
      <c r="B15" s="27">
        <v>0.1</v>
      </c>
    </row>
    <row r="17" spans="1:6" ht="25.5" x14ac:dyDescent="0.25">
      <c r="A17" s="26" t="s">
        <v>122</v>
      </c>
      <c r="B17" s="26" t="s">
        <v>110</v>
      </c>
      <c r="C17" s="26" t="s">
        <v>111</v>
      </c>
      <c r="D17" s="26" t="s">
        <v>112</v>
      </c>
      <c r="E17" s="26" t="s">
        <v>123</v>
      </c>
    </row>
    <row r="18" spans="1:6" x14ac:dyDescent="0.25">
      <c r="A18" s="6" t="s">
        <v>124</v>
      </c>
      <c r="B18" s="8">
        <f>$C$11*(1-$B$14)</f>
        <v>41.65</v>
      </c>
      <c r="C18" s="8">
        <f>$D$11*(1+$B$15)</f>
        <v>360.25000000000006</v>
      </c>
      <c r="D18" s="8">
        <f>B18-C18</f>
        <v>-318.60000000000008</v>
      </c>
      <c r="E18" s="8">
        <f>'Flujo de Caja'!C7+D18</f>
        <v>-225.73000000000008</v>
      </c>
    </row>
    <row r="19" spans="1:6" x14ac:dyDescent="0.25">
      <c r="A19" s="6" t="s">
        <v>125</v>
      </c>
      <c r="B19" s="8">
        <f>$C$11</f>
        <v>49</v>
      </c>
      <c r="C19" s="8">
        <f>$D$11</f>
        <v>327.5</v>
      </c>
      <c r="D19" s="8">
        <f>B19-C19</f>
        <v>-278.5</v>
      </c>
      <c r="E19" s="8">
        <f>'Flujo de Caja'!C7+D19</f>
        <v>-185.63</v>
      </c>
    </row>
    <row r="20" spans="1:6" x14ac:dyDescent="0.25">
      <c r="A20" s="6" t="s">
        <v>126</v>
      </c>
      <c r="B20" s="8">
        <f>$C$11*(1+$B$14)</f>
        <v>56.349999999999994</v>
      </c>
      <c r="C20" s="8">
        <f>$D$11*(1-$B$15)</f>
        <v>294.75</v>
      </c>
      <c r="D20" s="8">
        <f>B20-C20</f>
        <v>-238.4</v>
      </c>
      <c r="E20" s="8">
        <f>'Flujo de Caja'!C7+D20</f>
        <v>-145.53</v>
      </c>
    </row>
    <row r="22" spans="1:6" ht="22.35" customHeight="1" x14ac:dyDescent="0.25">
      <c r="A22" s="35" t="s">
        <v>127</v>
      </c>
      <c r="B22" s="35"/>
      <c r="C22" s="35"/>
      <c r="D22" s="35"/>
      <c r="E22" s="35"/>
      <c r="F22" s="35"/>
    </row>
  </sheetData>
  <mergeCells count="3">
    <mergeCell ref="A1:F1"/>
    <mergeCell ref="A2:F2"/>
    <mergeCell ref="A22:F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Flujo de Caja</vt:lpstr>
      <vt:lpstr>Calendario Actividades</vt:lpstr>
      <vt:lpstr>Supuestos</vt:lpstr>
      <vt:lpstr>Proyecciones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Fernando Alvarado Soplapuco</cp:lastModifiedBy>
  <cp:revision>1</cp:revision>
  <dcterms:created xsi:type="dcterms:W3CDTF">2026-08-31T01:01:28Z</dcterms:created>
  <dcterms:modified xsi:type="dcterms:W3CDTF">2026-09-05T22:46:53Z</dcterms:modified>
  <dc:language>en-US</dc:language>
</cp:coreProperties>
</file>